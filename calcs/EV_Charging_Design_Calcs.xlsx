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hargers" sheetId="3" state="visible" r:id="rId5"/>
    <sheet name="Transformer_Impact" sheetId="4" state="visible" r:id="rId6"/>
    <sheet name="Hourly_DLM" sheetId="5" state="visible" r:id="rId7"/>
    <sheet name="Cables" sheetId="6" state="visible" r:id="rId8"/>
    <sheet name="Pricing" sheetId="7" state="visible" r:id="rId9"/>
    <sheet name="Ref_Tab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<sst xmlns="http://schemas.openxmlformats.org/spreadsheetml/2006/main" count="343" uniqueCount="277">
  <si>
    <t xml:space="preserve">EV Charging Infrastructure Design: Commercial Office Building</t>
  </si>
  <si>
    <t xml:space="preserve">Prepared by Anuj Kumar (B.Tech EE, DTU). Portfolio design exercise</t>
  </si>
  <si>
    <t xml:space="preserve">Scope</t>
  </si>
  <si>
    <t xml:space="preserve">6 EV charging points (4 x 7.4 kW AC + 2 x 30 kW DC) for the parking of a 1,800 m² G+2 commercial office in Delhi.</t>
  </si>
  <si>
    <t xml:space="preserve">Shows the transformer impact with and without dynamic load management (DLM), an hourly DLM profile, the EV DB feeder and the final circuits.</t>
  </si>
  <si>
    <t xml:space="preserve">Host building data are taken from the companion project 'Electrical Design of a G+2 Commercial Office Building' (Rev 0). In that design this EV DB replaces the 2 x 7.4 kW provision on feeder F09.</t>
  </si>
  <si>
    <t xml:space="preserve">Change the host-building inputs and this workbook can be applied to any other building.</t>
  </si>
  <si>
    <t xml:space="preserve">Sheets</t>
  </si>
  <si>
    <t xml:space="preserve">Inputs</t>
  </si>
  <si>
    <t xml:space="preserve">Host building data, supply, margins, derating, charging-use assumptions</t>
  </si>
  <si>
    <t xml:space="preserve">Chargers</t>
  </si>
  <si>
    <t xml:space="preserve">Parking requirement (MoHUA bye-laws), charger schedule, phase allocation</t>
  </si>
  <si>
    <t xml:space="preserve">Transformer_Impact</t>
  </si>
  <si>
    <t xml:space="preserve">Building MD with and without DLM; DLM peak cap that keeps the 315 kVA transformer</t>
  </si>
  <si>
    <t xml:space="preserve">Hourly_DLM</t>
  </si>
  <si>
    <t xml:space="preserve">24-hour office load profile, EV power available each hour, daily energy check, chart</t>
  </si>
  <si>
    <t xml:space="preserve">Cables</t>
  </si>
  <si>
    <t xml:space="preserve">MLTP to EV DB feeder (Al XLPE) and one final circuit per charger (Cu XLPE)</t>
  </si>
  <si>
    <t xml:space="preserve">Pricing</t>
  </si>
  <si>
    <t xml:space="preserve">AC vs DC user price (MoP 2024 tariff structure), revenue and payback</t>
  </si>
  <si>
    <t xml:space="preserve">Ref_Tables</t>
  </si>
  <si>
    <t xml:space="preserve">Havells cable data, standard breaker and transformer ratings</t>
  </si>
  <si>
    <t xml:space="preserve">Colour legend</t>
  </si>
  <si>
    <t xml:space="preserve">Blue text, yellow fill</t>
  </si>
  <si>
    <t xml:space="preserve">Input: edit these</t>
  </si>
  <si>
    <t xml:space="preserve">Black text</t>
  </si>
  <si>
    <t xml:space="preserve">Formula</t>
  </si>
  <si>
    <t xml:space="preserve">Green text</t>
  </si>
  <si>
    <t xml:space="preserve">Link from another sheet</t>
  </si>
  <si>
    <t xml:space="preserve">Green fill</t>
  </si>
  <si>
    <t xml:space="preserve">Key result</t>
  </si>
  <si>
    <t xml:space="preserve">Standards &amp; sources</t>
  </si>
  <si>
    <t xml:space="preserve">IEC 61851-1 / -23 and IS 17017 (EV conductive charging); IEC 60364-7-722 (supplies for EVs); IS 732; IEC 60364-5-52</t>
  </si>
  <si>
    <t xml:space="preserve">MoHUA Model Building Bye-Laws 2016, amendment for EV charging infrastructure (2019): 20% of parking EV-ready</t>
  </si>
  <si>
    <t xml:space="preserve">Ministry of Power, Guidelines for Installation and Operation of EV Charging Infrastructure (2024): reduced solar-hour tariff 9 AM–4 PM</t>
  </si>
  <si>
    <t xml:space="preserve">Havells International Cables catalogue (Tables 16 and 20) for cable ampacity and resistance</t>
  </si>
  <si>
    <t xml:space="preserve">Limitations</t>
  </si>
  <si>
    <t xml:space="preserve">Parking count (30) and daily charging sessions are assumptions.</t>
  </si>
  <si>
    <t xml:space="preserve">DLM cap uses a unity-PF approximation for EV load; the MD checks use the full kW/kVAr sum.</t>
  </si>
  <si>
    <t xml:space="preserve">Office load profile is typical, not measured. Charger harmonics and RCD type must be confirmed with the charger maker.</t>
  </si>
  <si>
    <t xml:space="preserve">Pricing: Delhi EV tariff from the 2019 DERC order (verify current schedule); charger costs and usage are approximate assumptions.</t>
  </si>
  <si>
    <t xml:space="preserve">Design inputs</t>
  </si>
  <si>
    <t xml:space="preserve">Parameter</t>
  </si>
  <si>
    <t xml:space="preserve">Value</t>
  </si>
  <si>
    <t xml:space="preserve">Unit</t>
  </si>
  <si>
    <t xml:space="preserve">Basis / note</t>
  </si>
  <si>
    <t xml:space="preserve">HOST BUILDING (from G+2 project, Rev 0)</t>
  </si>
  <si>
    <t xml:space="preserve">Non-EV feeder demand, active</t>
  </si>
  <si>
    <t xml:space="preserve">kW</t>
  </si>
  <si>
    <t xml:space="preserve">G+2 Load_Schedule: Σ MD of all feeders except EV (F09)</t>
  </si>
  <si>
    <t xml:space="preserve">Non-EV feeder demand, reactive</t>
  </si>
  <si>
    <t xml:space="preserve">kVAr</t>
  </si>
  <si>
    <t xml:space="preserve">G+2 Load_Schedule</t>
  </si>
  <si>
    <t xml:space="preserve">Overall diversity factor</t>
  </si>
  <si>
    <t xml:space="preserve">-</t>
  </si>
  <si>
    <t xml:space="preserve">Same as G+2</t>
  </si>
  <si>
    <t xml:space="preserve">Existing transformer rating</t>
  </si>
  <si>
    <t xml:space="preserve">kVA</t>
  </si>
  <si>
    <t xml:space="preserve">G+2 Sizing sheet: 11/0.433 kV, Dyn11</t>
  </si>
  <si>
    <t xml:space="preserve">Transformer max loading</t>
  </si>
  <si>
    <t xml:space="preserve">Future expansion margin</t>
  </si>
  <si>
    <t xml:space="preserve">LT system voltage (L-L)</t>
  </si>
  <si>
    <t xml:space="preserve">V</t>
  </si>
  <si>
    <t xml:space="preserve">LT voltage (L-N)</t>
  </si>
  <si>
    <t xml:space="preserve">EV CHARGING USE</t>
  </si>
  <si>
    <t xml:space="preserve">Car parking spaces</t>
  </si>
  <si>
    <t xml:space="preserve">nos</t>
  </si>
  <si>
    <t xml:space="preserve">Assumed for 1,800 m² office</t>
  </si>
  <si>
    <t xml:space="preserve">EV-ready share of parking</t>
  </si>
  <si>
    <t xml:space="preserve">MoHUA MBBL-2016 amendment (2019)</t>
  </si>
  <si>
    <t xml:space="preserve">Daily charging sessions</t>
  </si>
  <si>
    <t xml:space="preserve">Assumed: 6 bays, about 2 sessions each per working day</t>
  </si>
  <si>
    <t xml:space="preserve">Energy per session</t>
  </si>
  <si>
    <t xml:space="preserve">kWh</t>
  </si>
  <si>
    <t xml:space="preserve">Assumed average top-up</t>
  </si>
  <si>
    <t xml:space="preserve">Charging window start</t>
  </si>
  <si>
    <t xml:space="preserve">h</t>
  </si>
  <si>
    <t xml:space="preserve">Office hours parking</t>
  </si>
  <si>
    <t xml:space="preserve">Charging window end</t>
  </si>
  <si>
    <t xml:space="preserve">Exclusive</t>
  </si>
  <si>
    <t xml:space="preserve">EV power factor</t>
  </si>
  <si>
    <t xml:space="preserve">Active front-end chargers</t>
  </si>
  <si>
    <t xml:space="preserve">CABLES</t>
  </si>
  <si>
    <t xml:space="preserve">Temperature derating factor</t>
  </si>
  <si>
    <t xml:space="preserve">Havells: 45°C air</t>
  </si>
  <si>
    <t xml:space="preserve">Grouping factor, MLTP feeder tray</t>
  </si>
  <si>
    <t xml:space="preserve">Havells: multicore touching, 2 racks x 4</t>
  </si>
  <si>
    <t xml:space="preserve">Grouping factor, EV final-circuit tray</t>
  </si>
  <si>
    <t xml:space="preserve">Havells: multicore touching, 1 rack x 3</t>
  </si>
  <si>
    <t xml:space="preserve">Voltage-drop limit</t>
  </si>
  <si>
    <t xml:space="preserve">IS 732 / IEC 60364-5-52</t>
  </si>
  <si>
    <t xml:space="preserve">MLTP to EV DB length</t>
  </si>
  <si>
    <t xml:space="preserve">m</t>
  </si>
  <si>
    <t xml:space="preserve">Parking adjacent to building</t>
  </si>
  <si>
    <t xml:space="preserve">Charger schedule</t>
  </si>
  <si>
    <t xml:space="preserve">A. Requirement</t>
  </si>
  <si>
    <t xml:space="preserve">Item</t>
  </si>
  <si>
    <t xml:space="preserve">Unit / note</t>
  </si>
  <si>
    <t xml:space="preserve">Charging points required</t>
  </si>
  <si>
    <t xml:space="preserve">parking x 20%</t>
  </si>
  <si>
    <t xml:space="preserve">Charging points provided</t>
  </si>
  <si>
    <t xml:space="preserve">Check</t>
  </si>
  <si>
    <t xml:space="preserve">B. Chargers</t>
  </si>
  <si>
    <t xml:space="preserve">Tag</t>
  </si>
  <si>
    <t xml:space="preserve">Charger</t>
  </si>
  <si>
    <t xml:space="preserve">Connector / standard</t>
  </si>
  <si>
    <t xml:space="preserve">Qty</t>
  </si>
  <si>
    <t xml:space="preserve">Output (kW)</t>
  </si>
  <si>
    <t xml:space="preserve">Efficiency</t>
  </si>
  <si>
    <t xml:space="preserve">Input each (kW)</t>
  </si>
  <si>
    <t xml:space="preserve">PF</t>
  </si>
  <si>
    <t xml:space="preserve">Phases</t>
  </si>
  <si>
    <t xml:space="preserve">Voltage (V)</t>
  </si>
  <si>
    <t xml:space="preserve">Ib each (A)</t>
  </si>
  <si>
    <t xml:space="preserve">Total input (kW)</t>
  </si>
  <si>
    <t xml:space="preserve">Total (kVA)</t>
  </si>
  <si>
    <t xml:space="preserve">EVC-AC</t>
  </si>
  <si>
    <t xml:space="preserve">AC wallbox 7.4 kW, 32 A</t>
  </si>
  <si>
    <t xml:space="preserve">Type 2, IEC 61851-1 / IS 17017</t>
  </si>
  <si>
    <t xml:space="preserve">EVC-DC</t>
  </si>
  <si>
    <t xml:space="preserve">DC fast charger 30 kW</t>
  </si>
  <si>
    <t xml:space="preserve">CCS2, IEC 61851-23 / IS 17017</t>
  </si>
  <si>
    <t xml:space="preserve">Total</t>
  </si>
  <si>
    <t xml:space="preserve">C. Phase allocation (connected kW)</t>
  </si>
  <si>
    <t xml:space="preserve">Phase</t>
  </si>
  <si>
    <t xml:space="preserve">AC chargers</t>
  </si>
  <si>
    <t xml:space="preserve">AC kW</t>
  </si>
  <si>
    <t xml:space="preserve">DC kW (balanced)</t>
  </si>
  <si>
    <t xml:space="preserve">Total kW</t>
  </si>
  <si>
    <t xml:space="preserve">vs average</t>
  </si>
  <si>
    <t xml:space="preserve">R</t>
  </si>
  <si>
    <t xml:space="preserve">Y</t>
  </si>
  <si>
    <t xml:space="preserve">B</t>
  </si>
  <si>
    <t xml:space="preserve">Two AC chargers share phase R (+13%). DLM allocates power phase-aware, so the R-phase pair is throttled first at peak.</t>
  </si>
  <si>
    <t xml:space="preserve">Transformer impact and DLM cap</t>
  </si>
  <si>
    <t xml:space="preserve">Unit / formula</t>
  </si>
  <si>
    <t xml:space="preserve">Building MD without EV</t>
  </si>
  <si>
    <t xml:space="preserve">Max building MD allowed on existing transformer</t>
  </si>
  <si>
    <t xml:space="preserve">kVA = rating x 0.8 / 1.2</t>
  </si>
  <si>
    <t xml:space="preserve">Headroom for EV at design MD</t>
  </si>
  <si>
    <t xml:space="preserve">EV connected load</t>
  </si>
  <si>
    <t xml:space="preserve">CASE 1, no load management: building MD</t>
  </si>
  <si>
    <t xml:space="preserve">kVA (EV not diversified)</t>
  </si>
  <si>
    <t xml:space="preserve">Case 1 transformer required</t>
  </si>
  <si>
    <t xml:space="preserve">Case 1 transformer selected</t>
  </si>
  <si>
    <t xml:space="preserve">Allowable EV demand at office peak</t>
  </si>
  <si>
    <t xml:space="preserve">kW (EV at unity PF, approx.)</t>
  </si>
  <si>
    <t xml:space="preserve">CASE 2, DLM peak cap adopted</t>
  </si>
  <si>
    <t xml:space="preserve">kW (rounded down to 5 kW)</t>
  </si>
  <si>
    <t xml:space="preserve">Case 2 building MD</t>
  </si>
  <si>
    <t xml:space="preserve">Case 2 transformer required</t>
  </si>
  <si>
    <t xml:space="preserve">EV share available at peak</t>
  </si>
  <si>
    <t xml:space="preserve">of connected EV load</t>
  </si>
  <si>
    <t xml:space="preserve">Average power per charger at peak, all 6 in use</t>
  </si>
  <si>
    <t xml:space="preserve">Transformer loading at Case 2 MD</t>
  </si>
  <si>
    <t xml:space="preserve">EV load is not diversified: under DLM it is a controlled, firm load. Without DLM the 94 kW of chargers would force a 400 kVA transformer. A 40 kW peak cap keeps building MD within 315 kVA x 0.8 / 1.2, preserving the 20% future margin.</t>
  </si>
  <si>
    <t xml:space="preserve">Hourly DLM profile (typical working day)</t>
  </si>
  <si>
    <t xml:space="preserve">EV power available = largest EV kW that keeps building MD within the design limit (rating x 0.8 / 1.2), capped at the chargers' connected load.</t>
  </si>
  <si>
    <t xml:space="preserve">Hour</t>
  </si>
  <si>
    <t xml:space="preserve">Office load (% of MD)</t>
  </si>
  <si>
    <t xml:space="preserve">Building P (kW)</t>
  </si>
  <si>
    <t xml:space="preserve">Building Q (kVAr)</t>
  </si>
  <si>
    <t xml:space="preserve">EV available (kW)</t>
  </si>
  <si>
    <t xml:space="preserve">In charging window?</t>
  </si>
  <si>
    <t xml:space="preserve">EV energy in window (kWh)</t>
  </si>
  <si>
    <t xml:space="preserve">Daily EV energy deliverable in window</t>
  </si>
  <si>
    <t xml:space="preserve">Daily EV energy needed (sessions x kWh)</t>
  </si>
  <si>
    <t xml:space="preserve">Lowest EV power in window (sets the DLM cap)</t>
  </si>
  <si>
    <t xml:space="preserve">Cable schedule: EV DB feeder and final circuits</t>
  </si>
  <si>
    <t xml:space="preserve">A. MLTP to EV DB feeder (Al XLPE, sized on full connected load: no DLM credit)</t>
  </si>
  <si>
    <t xml:space="preserve">From</t>
  </si>
  <si>
    <t xml:space="preserve">To</t>
  </si>
  <si>
    <t xml:space="preserve">Load (kVA)</t>
  </si>
  <si>
    <t xml:space="preserve">Ib (A)</t>
  </si>
  <si>
    <t xml:space="preserve">Breaker In (A)</t>
  </si>
  <si>
    <t xml:space="preserve">Iz needed (A)</t>
  </si>
  <si>
    <t xml:space="preserve">Size (mm²)</t>
  </si>
  <si>
    <t xml:space="preserve">Iz derated (A)</t>
  </si>
  <si>
    <t xml:space="preserve">ΔV (%)</t>
  </si>
  <si>
    <t xml:space="preserve">Cable</t>
  </si>
  <si>
    <t xml:space="preserve">F09</t>
  </si>
  <si>
    <t xml:space="preserve">Main LT Panel</t>
  </si>
  <si>
    <t xml:space="preserve">EV Charger DB</t>
  </si>
  <si>
    <t xml:space="preserve">B. Final circuits, one per charger (Cu XLPE). In ≥ 1.25 x Ib (charging is a continuous load)</t>
  </si>
  <si>
    <t xml:space="preserve">Circuit</t>
  </si>
  <si>
    <t xml:space="preserve">RCD</t>
  </si>
  <si>
    <t xml:space="preserve">Size Cu (mm²)</t>
  </si>
  <si>
    <t xml:space="preserve">Length (m)</t>
  </si>
  <si>
    <t xml:space="preserve">EV-1</t>
  </si>
  <si>
    <t xml:space="preserve">30 mA Type A + 6 mA DC detection (in charger)</t>
  </si>
  <si>
    <t xml:space="preserve">EV-2</t>
  </si>
  <si>
    <t xml:space="preserve">EV-3</t>
  </si>
  <si>
    <t xml:space="preserve">EV-4</t>
  </si>
  <si>
    <t xml:space="preserve">EV-5</t>
  </si>
  <si>
    <t xml:space="preserve">RYB</t>
  </si>
  <si>
    <t xml:space="preserve">30 mA Type B (unless charger isolated)</t>
  </si>
  <si>
    <t xml:space="preserve">EV-6</t>
  </si>
  <si>
    <t xml:space="preserve">ΔV single-phase = 2·Z·I·L; three-phase = √3·Z·I·L. Each charger has its own circuit, RCD and protective earth (IEC 60364-7-722). EV DB is not on the DG bus.</t>
  </si>
  <si>
    <t xml:space="preserve">Charging price, revenue and payback (AC vs DC)</t>
  </si>
  <si>
    <t xml:space="preserve">EV DB separately sub-metered behind the building's HT connection (permitted by MoP 2024): single-part EV tariff, no demand charge. DC premium comes from the higher service-charge ceiling.</t>
  </si>
  <si>
    <t xml:space="preserve">A. Tariff and charge inputs</t>
  </si>
  <si>
    <t xml:space="preserve">AC</t>
  </si>
  <si>
    <t xml:space="preserve">DC</t>
  </si>
  <si>
    <t xml:space="preserve">Basis / source</t>
  </si>
  <si>
    <t xml:space="preserve">Base EV energy tariff (₹/kWh)</t>
  </si>
  <si>
    <t xml:space="preserve">DERC EV tariff, LT (₹4.5/kWh, 2019 order). Verify current DISCOM schedule</t>
  </si>
  <si>
    <t xml:space="preserve">Solar-hour multiplier (9 AM–4 PM)</t>
  </si>
  <si>
    <t xml:space="preserve">MoP EV Charging Guidelines 2024: 0.7 x in solar hours</t>
  </si>
  <si>
    <t xml:space="preserve">Non-solar-hour multiplier</t>
  </si>
  <si>
    <t xml:space="preserve">MoP 2024: 1.3 x in non-solar hours</t>
  </si>
  <si>
    <t xml:space="preserve">Service charge, solar hours (₹/kWh)</t>
  </si>
  <si>
    <t xml:space="preserve">MoP 2024 ceiling: AC ₹3, DC ₹11 (valid to Mar 2028)</t>
  </si>
  <si>
    <t xml:space="preserve">Service charge, non-solar hours (₹/kWh)</t>
  </si>
  <si>
    <t xml:space="preserve">MoP 2024 ceiling: AC ₹4, DC ₹13</t>
  </si>
  <si>
    <t xml:space="preserve">GST on charging service</t>
  </si>
  <si>
    <t xml:space="preserve">18% on the charging service</t>
  </si>
  <si>
    <t xml:space="preserve">Charger efficiency (input energy / delivered)</t>
  </si>
  <si>
    <t xml:space="preserve">From Chargers sheet: operator buys input energy</t>
  </si>
  <si>
    <t xml:space="preserve">Share of energy delivered in solar hours</t>
  </si>
  <si>
    <t xml:space="preserve">Assumed: AC = long-dwell staff cars in office hours; DC = more early/late top-ups (DLM limits EV power 10 AM–5 PM)</t>
  </si>
  <si>
    <t xml:space="preserve">Sessions per working day</t>
  </si>
  <si>
    <t xml:space="preserve">Assumed: 12 total, as on Inputs sheet</t>
  </si>
  <si>
    <t xml:space="preserve">Energy per session (kWh)</t>
  </si>
  <si>
    <t xml:space="preserve">Assumed, as on Inputs sheet</t>
  </si>
  <si>
    <t xml:space="preserve">Working days per year</t>
  </si>
  <si>
    <t xml:space="preserve">Assumed</t>
  </si>
  <si>
    <t xml:space="preserve">Idle fee after 15-min grace (₹/min)</t>
  </si>
  <si>
    <t xml:space="preserve">DC bays only, to free the fast charger. Not counted in revenue</t>
  </si>
  <si>
    <t xml:space="preserve">B. Price to the EV user (₹/kWh, incl. GST)</t>
  </si>
  <si>
    <t xml:space="preserve">Energy pass-through, solar hours</t>
  </si>
  <si>
    <t xml:space="preserve">tariff x multiplier / efficiency</t>
  </si>
  <si>
    <t xml:space="preserve">Energy pass-through, non-solar hours</t>
  </si>
  <si>
    <t xml:space="preserve">User price, solar hours</t>
  </si>
  <si>
    <t xml:space="preserve">(energy + service) x 1.18</t>
  </si>
  <si>
    <t xml:space="preserve">User price, non-solar hours</t>
  </si>
  <si>
    <t xml:space="preserve">Weighted average user price</t>
  </si>
  <si>
    <t xml:space="preserve">by solar-hour share</t>
  </si>
  <si>
    <t xml:space="preserve">Cost of a 20 kWh session, solar hours</t>
  </si>
  <si>
    <t xml:space="preserve">₹</t>
  </si>
  <si>
    <t xml:space="preserve">Cost of a 20 kWh session, non-solar hours</t>
  </si>
  <si>
    <t xml:space="preserve">Time for a 20 kWh session (h)</t>
  </si>
  <si>
    <t xml:space="preserve">at full charger power</t>
  </si>
  <si>
    <t xml:space="preserve">DC premium over AC (weighted price)</t>
  </si>
  <si>
    <t xml:space="preserve">what the user pays for speed</t>
  </si>
  <si>
    <t xml:space="preserve">C. Revenue and payback (operator view)</t>
  </si>
  <si>
    <t xml:space="preserve">Basis</t>
  </si>
  <si>
    <t xml:space="preserve">Number of chargers</t>
  </si>
  <si>
    <t xml:space="preserve">Energy delivered per year (kWh)</t>
  </si>
  <si>
    <t xml:space="preserve">sessions x kWh x days</t>
  </si>
  <si>
    <t xml:space="preserve">Service revenue per year (₹, ex-GST)</t>
  </si>
  <si>
    <t xml:space="preserve">energy is a pass-through; margin = service charge</t>
  </si>
  <si>
    <t xml:space="preserve">Charger cost, installed (₹ each)</t>
  </si>
  <si>
    <t xml:space="preserve">Approx. market: 7.4 kW wallbox ~₹0.5–0.8 L; 30 kW DC ~₹6–8 L. Replace with quotes</t>
  </si>
  <si>
    <t xml:space="preserve">Share of EV DB, feeder and civil works (₹)</t>
  </si>
  <si>
    <t xml:space="preserve">Approx. total ₹3 L split 1:2 (DC bays need more)</t>
  </si>
  <si>
    <t xml:space="preserve">Total capex (₹)</t>
  </si>
  <si>
    <t xml:space="preserve">O&amp;M per year (% of capex)</t>
  </si>
  <si>
    <t xml:space="preserve">Charge-management software (₹ per charger per month)</t>
  </si>
  <si>
    <t xml:space="preserve">Assumed CMS / OCPP backend fee</t>
  </si>
  <si>
    <t xml:space="preserve">Operating cost per year (₹)</t>
  </si>
  <si>
    <t xml:space="preserve">Net margin per year (₹)</t>
  </si>
  <si>
    <t xml:space="preserve">Simple payback (years)</t>
  </si>
  <si>
    <t xml:space="preserve">capex / net margin</t>
  </si>
  <si>
    <t xml:space="preserve">Whole station payback (years)</t>
  </si>
  <si>
    <t xml:space="preserve">total capex / total net margin</t>
  </si>
  <si>
    <t xml:space="preserve">D. Design finding</t>
  </si>
  <si>
    <t xml:space="preserve">1. Solar hours (9 AM–4 PM, cheapest energy and service charge) overlap the office peak (10 AM–5 PM), when DLM limits EV power to the cap.</t>
  </si>
  <si>
    <t xml:space="preserve">2. So DLM gives priority to long-dwell AC charging in the day, and the DC bays are most useful before 10 AM and after 5 PM at the non-solar price.</t>
  </si>
  <si>
    <t xml:space="preserve">3. The higher DC price reflects the faster service (about 0.7 h vs 2.7 h for 20 kWh) and the much higher charger cost, within the MoP ceilings.</t>
  </si>
  <si>
    <t xml:space="preserve">Reference tables</t>
  </si>
  <si>
    <t xml:space="preserve">Al 3.5C/4C XLPE armd, air 30°C (Havells T16/T20)</t>
  </si>
  <si>
    <t xml:space="preserve">Cu 4C XLPE armd, air 30°C (Havells T20)</t>
  </si>
  <si>
    <t xml:space="preserve">Ampacity (A)</t>
  </si>
  <si>
    <t xml:space="preserve">R @20°C (Ω/km)</t>
  </si>
  <si>
    <t xml:space="preserve">mV/A/m 3-ph</t>
  </si>
  <si>
    <t xml:space="preserve">Z @90°C (Ω/km)</t>
  </si>
  <si>
    <t xml:space="preserve">Transformer (kVA)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</si>
</sst>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%"/>
    <numFmt numFmtId="167" formatCode="0"/>
    <numFmt numFmtId="168" formatCode="0.0"/>
    <numFmt numFmtId="169" formatCode="\+0%;\-0%;0%"/>
    <numFmt numFmtId="170" formatCode="00"/>
    <numFmt numFmtId="171" formatCode="0.00%"/>
    <numFmt numFmtId="172" formatCode="#,##0"/>
    <numFmt numFmtId="173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 power available through the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Hourly_DLM!F4</c:f>
              <c:strCache>
                <c:ptCount val="1"/>
                <c:pt idx="0">
                  <c:v>EV available (kW)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Hourly_DLM!$B$5:$B$28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Hourly_DLM!$F$5:$F$28</c:f>
              <c:numCache>
                <c:formatCode>0.0</c:formatCode>
                <c:ptCount val="24"/>
                <c:pt idx="0">
                  <c:v>94.0338688666956</c:v>
                </c:pt>
                <c:pt idx="1">
                  <c:v>94.0338688666956</c:v>
                </c:pt>
                <c:pt idx="2">
                  <c:v>94.0338688666956</c:v>
                </c:pt>
                <c:pt idx="3">
                  <c:v>94.0338688666956</c:v>
                </c:pt>
                <c:pt idx="4">
                  <c:v>94.0338688666956</c:v>
                </c:pt>
                <c:pt idx="5">
                  <c:v>94.0338688666956</c:v>
                </c:pt>
                <c:pt idx="6">
                  <c:v>94.0338688666956</c:v>
                </c:pt>
                <c:pt idx="7">
                  <c:v>94.0338688666956</c:v>
                </c:pt>
                <c:pt idx="8">
                  <c:v>94.0338688666956</c:v>
                </c:pt>
                <c:pt idx="9">
                  <c:v>71.5669028570726</c:v>
                </c:pt>
                <c:pt idx="10">
                  <c:v>44.6045031289845</c:v>
                </c:pt>
                <c:pt idx="11">
                  <c:v>44.6045031289845</c:v>
                </c:pt>
                <c:pt idx="12">
                  <c:v>44.6045031289845</c:v>
                </c:pt>
                <c:pt idx="13">
                  <c:v>44.6045031289845</c:v>
                </c:pt>
                <c:pt idx="14">
                  <c:v>44.6045031289845</c:v>
                </c:pt>
                <c:pt idx="15">
                  <c:v>44.6045031289845</c:v>
                </c:pt>
                <c:pt idx="16">
                  <c:v>44.6045031289845</c:v>
                </c:pt>
                <c:pt idx="17">
                  <c:v>62.6724319915189</c:v>
                </c:pt>
                <c:pt idx="18">
                  <c:v>94.0338688666956</c:v>
                </c:pt>
                <c:pt idx="19">
                  <c:v>94.0338688666956</c:v>
                </c:pt>
                <c:pt idx="20">
                  <c:v>94.0338688666956</c:v>
                </c:pt>
                <c:pt idx="21">
                  <c:v>94.0338688666956</c:v>
                </c:pt>
                <c:pt idx="22">
                  <c:v>94.0338688666956</c:v>
                </c:pt>
                <c:pt idx="23">
                  <c:v>94.0338688666956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949318"/>
        <c:axId val="46189401"/>
      </c:lineChart>
      <c:catAx>
        <c:axId val="279493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89401"/>
        <c:crosses val="autoZero"/>
        <c:auto val="1"/>
        <c:lblAlgn val="ctr"/>
        <c:lblOffset val="100"/>
        <c:noMultiLvlLbl val="0"/>
      </c:catAx>
      <c:valAx>
        <c:axId val="46189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493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19</xdr:col>
      <xdr:colOff>364680</xdr:colOff>
      <xdr:row>16</xdr:row>
      <xdr:rowOff>106920</xdr:rowOff>
    </xdr:to>
    <xdr:graphicFrame>
      <xdr:nvGraphicFramePr>
        <xdr:cNvPr id="0" name="Chart 1"/>
        <xdr:cNvGraphicFramePr/>
      </xdr:nvGraphicFramePr>
      <xdr:xfrm>
        <a:off x="67438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C6" s="4" t="s">
        <v>3</v>
      </c>
    </row>
    <row r="7" customFormat="false" ht="23.85" hidden="false" customHeight="false" outlineLevel="0" collapsed="false">
      <c r="C7" s="4" t="s">
        <v>4</v>
      </c>
    </row>
    <row r="8" customFormat="false" ht="23.85" hidden="false" customHeight="false" outlineLevel="0" collapsed="false">
      <c r="C8" s="4" t="s">
        <v>5</v>
      </c>
    </row>
    <row r="9" customFormat="false" ht="15" hidden="false" customHeight="false" outlineLevel="0" collapsed="false">
      <c r="C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  <c r="C12" s="6" t="s">
        <v>9</v>
      </c>
    </row>
    <row r="13" customFormat="false" ht="15" hidden="false" customHeight="false" outlineLevel="0" collapsed="false">
      <c r="B13" s="5" t="s">
        <v>10</v>
      </c>
      <c r="C13" s="6" t="s">
        <v>11</v>
      </c>
    </row>
    <row r="14" customFormat="false" ht="15" hidden="false" customHeight="false" outlineLevel="0" collapsed="false">
      <c r="B14" s="5" t="s">
        <v>12</v>
      </c>
      <c r="C14" s="6" t="s">
        <v>13</v>
      </c>
    </row>
    <row r="15" customFormat="false" ht="15" hidden="false" customHeight="false" outlineLevel="0" collapsed="false">
      <c r="B15" s="5" t="s">
        <v>14</v>
      </c>
      <c r="C15" s="6" t="s">
        <v>15</v>
      </c>
    </row>
    <row r="16" customFormat="false" ht="15" hidden="false" customHeight="false" outlineLevel="0" collapsed="false">
      <c r="B16" s="5" t="s">
        <v>16</v>
      </c>
      <c r="C16" s="6" t="s">
        <v>17</v>
      </c>
    </row>
    <row r="17" customFormat="false" ht="15" hidden="false" customHeight="false" outlineLevel="0" collapsed="false">
      <c r="B17" s="5" t="s">
        <v>18</v>
      </c>
      <c r="C17" s="6" t="s">
        <v>19</v>
      </c>
    </row>
    <row r="18" customFormat="false" ht="15" hidden="false" customHeight="false" outlineLevel="0" collapsed="false">
      <c r="B18" s="5" t="s">
        <v>20</v>
      </c>
      <c r="C18" s="6" t="s">
        <v>21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0" t="s">
        <v>22</v>
      </c>
    </row>
    <row r="21" customFormat="false" ht="15" hidden="false" customHeight="false" outlineLevel="0" collapsed="false">
      <c r="B21" s="7" t="s">
        <v>23</v>
      </c>
      <c r="C21" s="6" t="s">
        <v>24</v>
      </c>
    </row>
    <row r="22" customFormat="false" ht="15" hidden="false" customHeight="false" outlineLevel="0" collapsed="false">
      <c r="B22" s="6" t="s">
        <v>25</v>
      </c>
      <c r="C22" s="6" t="s">
        <v>26</v>
      </c>
    </row>
    <row r="23" customFormat="false" ht="15" hidden="false" customHeight="false" outlineLevel="0" collapsed="false">
      <c r="B23" s="8" t="s">
        <v>27</v>
      </c>
      <c r="C23" s="6" t="s">
        <v>28</v>
      </c>
    </row>
    <row r="24" customFormat="false" ht="15" hidden="false" customHeight="false" outlineLevel="0" collapsed="false">
      <c r="B24" s="9" t="s">
        <v>29</v>
      </c>
      <c r="C24" s="6" t="s">
        <v>30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0" t="s">
        <v>31</v>
      </c>
    </row>
    <row r="27" customFormat="false" ht="23.85" hidden="false" customHeight="false" outlineLevel="0" collapsed="false">
      <c r="C27" s="4" t="s">
        <v>32</v>
      </c>
    </row>
    <row r="28" customFormat="false" ht="15" hidden="false" customHeight="false" outlineLevel="0" collapsed="false">
      <c r="C28" s="4" t="s">
        <v>33</v>
      </c>
    </row>
    <row r="29" customFormat="false" ht="23.85" hidden="false" customHeight="false" outlineLevel="0" collapsed="false">
      <c r="C29" s="4" t="s">
        <v>34</v>
      </c>
    </row>
    <row r="30" customFormat="false" ht="15" hidden="false" customHeight="false" outlineLevel="0" collapsed="false">
      <c r="C30" s="4" t="s">
        <v>35</v>
      </c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0" t="s">
        <v>36</v>
      </c>
    </row>
    <row r="33" customFormat="false" ht="15" hidden="false" customHeight="false" outlineLevel="0" collapsed="false">
      <c r="C33" s="4" t="s">
        <v>37</v>
      </c>
    </row>
    <row r="34" customFormat="false" ht="15" hidden="false" customHeight="false" outlineLevel="0" collapsed="false">
      <c r="C34" s="4" t="s">
        <v>38</v>
      </c>
    </row>
    <row r="35" customFormat="false" ht="23.85" hidden="false" customHeight="false" outlineLevel="0" collapsed="false">
      <c r="C35" s="4" t="s">
        <v>39</v>
      </c>
    </row>
    <row r="36" customFormat="false" ht="23.85" hidden="false" customHeight="false" outlineLevel="0" collapsed="false">
      <c r="C36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2"/>
  </cols>
  <sheetData>
    <row r="2" customFormat="false" ht="17.35" hidden="false" customHeight="false" outlineLevel="0" collapsed="false">
      <c r="B2" s="1" t="s">
        <v>41</v>
      </c>
    </row>
    <row r="3" customFormat="false" ht="36" hidden="false" customHeight="true" outlineLevel="0" collapsed="false">
      <c r="B3" s="10" t="s">
        <v>42</v>
      </c>
      <c r="C3" s="10" t="s">
        <v>43</v>
      </c>
      <c r="D3" s="10" t="s">
        <v>44</v>
      </c>
      <c r="E3" s="10" t="s">
        <v>45</v>
      </c>
    </row>
    <row r="4" customFormat="false" ht="15" hidden="false" customHeight="false" outlineLevel="0" collapsed="false">
      <c r="B4" s="3" t="s">
        <v>46</v>
      </c>
    </row>
    <row r="5" customFormat="false" ht="15" hidden="false" customHeight="false" outlineLevel="0" collapsed="false">
      <c r="B5" s="11" t="s">
        <v>47</v>
      </c>
      <c r="C5" s="12" t="n">
        <v>166.12</v>
      </c>
      <c r="D5" s="11" t="s">
        <v>48</v>
      </c>
      <c r="E5" s="13" t="s">
        <v>49</v>
      </c>
    </row>
    <row r="6" customFormat="false" ht="15" hidden="false" customHeight="false" outlineLevel="0" collapsed="false">
      <c r="B6" s="11" t="s">
        <v>50</v>
      </c>
      <c r="C6" s="12" t="n">
        <v>89.03</v>
      </c>
      <c r="D6" s="11" t="s">
        <v>51</v>
      </c>
      <c r="E6" s="13" t="s">
        <v>52</v>
      </c>
    </row>
    <row r="7" customFormat="false" ht="15" hidden="false" customHeight="false" outlineLevel="0" collapsed="false">
      <c r="B7" s="11" t="s">
        <v>53</v>
      </c>
      <c r="C7" s="14" t="n">
        <v>0.9</v>
      </c>
      <c r="D7" s="11" t="s">
        <v>54</v>
      </c>
      <c r="E7" s="13" t="s">
        <v>55</v>
      </c>
    </row>
    <row r="8" customFormat="false" ht="15" hidden="false" customHeight="false" outlineLevel="0" collapsed="false">
      <c r="B8" s="11" t="s">
        <v>56</v>
      </c>
      <c r="C8" s="12" t="n">
        <v>315</v>
      </c>
      <c r="D8" s="11" t="s">
        <v>57</v>
      </c>
      <c r="E8" s="13" t="s">
        <v>58</v>
      </c>
    </row>
    <row r="9" customFormat="false" ht="15" hidden="false" customHeight="false" outlineLevel="0" collapsed="false">
      <c r="B9" s="11" t="s">
        <v>59</v>
      </c>
      <c r="C9" s="14" t="n">
        <v>0.8</v>
      </c>
      <c r="D9" s="11" t="s">
        <v>54</v>
      </c>
      <c r="E9" s="13" t="s">
        <v>55</v>
      </c>
    </row>
    <row r="10" customFormat="false" ht="15" hidden="false" customHeight="false" outlineLevel="0" collapsed="false">
      <c r="B10" s="11" t="s">
        <v>60</v>
      </c>
      <c r="C10" s="15" t="n">
        <v>0.2</v>
      </c>
      <c r="D10" s="11" t="s">
        <v>54</v>
      </c>
      <c r="E10" s="13" t="s">
        <v>55</v>
      </c>
    </row>
    <row r="11" customFormat="false" ht="15" hidden="false" customHeight="false" outlineLevel="0" collapsed="false">
      <c r="B11" s="11" t="s">
        <v>61</v>
      </c>
      <c r="C11" s="12" t="n">
        <v>415</v>
      </c>
      <c r="D11" s="11" t="s">
        <v>62</v>
      </c>
      <c r="E11" s="13"/>
    </row>
    <row r="12" customFormat="false" ht="15" hidden="false" customHeight="false" outlineLevel="0" collapsed="false">
      <c r="B12" s="11" t="s">
        <v>63</v>
      </c>
      <c r="C12" s="12" t="n">
        <v>240</v>
      </c>
      <c r="D12" s="11" t="s">
        <v>62</v>
      </c>
      <c r="E12" s="13"/>
    </row>
    <row r="13" customFormat="false" ht="15" hidden="false" customHeight="false" outlineLevel="0" collapsed="false">
      <c r="B13" s="3" t="s">
        <v>64</v>
      </c>
    </row>
    <row r="14" customFormat="false" ht="15" hidden="false" customHeight="false" outlineLevel="0" collapsed="false">
      <c r="B14" s="11" t="s">
        <v>65</v>
      </c>
      <c r="C14" s="12" t="n">
        <v>30</v>
      </c>
      <c r="D14" s="11" t="s">
        <v>66</v>
      </c>
      <c r="E14" s="13" t="s">
        <v>67</v>
      </c>
    </row>
    <row r="15" customFormat="false" ht="15" hidden="false" customHeight="false" outlineLevel="0" collapsed="false">
      <c r="B15" s="11" t="s">
        <v>68</v>
      </c>
      <c r="C15" s="15" t="n">
        <v>0.2</v>
      </c>
      <c r="D15" s="11" t="s">
        <v>54</v>
      </c>
      <c r="E15" s="13" t="s">
        <v>69</v>
      </c>
    </row>
    <row r="16" customFormat="false" ht="15" hidden="false" customHeight="false" outlineLevel="0" collapsed="false">
      <c r="B16" s="11" t="s">
        <v>70</v>
      </c>
      <c r="C16" s="12" t="n">
        <v>12</v>
      </c>
      <c r="D16" s="11" t="s">
        <v>66</v>
      </c>
      <c r="E16" s="13" t="s">
        <v>71</v>
      </c>
    </row>
    <row r="17" customFormat="false" ht="15" hidden="false" customHeight="false" outlineLevel="0" collapsed="false">
      <c r="B17" s="11" t="s">
        <v>72</v>
      </c>
      <c r="C17" s="12" t="n">
        <v>20</v>
      </c>
      <c r="D17" s="11" t="s">
        <v>73</v>
      </c>
      <c r="E17" s="13" t="s">
        <v>74</v>
      </c>
    </row>
    <row r="18" customFormat="false" ht="15" hidden="false" customHeight="false" outlineLevel="0" collapsed="false">
      <c r="B18" s="11" t="s">
        <v>75</v>
      </c>
      <c r="C18" s="12" t="n">
        <v>8</v>
      </c>
      <c r="D18" s="11" t="s">
        <v>76</v>
      </c>
      <c r="E18" s="13" t="s">
        <v>77</v>
      </c>
    </row>
    <row r="19" customFormat="false" ht="15" hidden="false" customHeight="false" outlineLevel="0" collapsed="false">
      <c r="B19" s="11" t="s">
        <v>78</v>
      </c>
      <c r="C19" s="12" t="n">
        <v>20</v>
      </c>
      <c r="D19" s="11" t="s">
        <v>76</v>
      </c>
      <c r="E19" s="13" t="s">
        <v>79</v>
      </c>
    </row>
    <row r="20" customFormat="false" ht="15" hidden="false" customHeight="false" outlineLevel="0" collapsed="false">
      <c r="B20" s="11" t="s">
        <v>80</v>
      </c>
      <c r="C20" s="14" t="n">
        <v>0.99</v>
      </c>
      <c r="D20" s="11" t="s">
        <v>54</v>
      </c>
      <c r="E20" s="13" t="s">
        <v>81</v>
      </c>
    </row>
    <row r="21" customFormat="false" ht="15" hidden="false" customHeight="false" outlineLevel="0" collapsed="false">
      <c r="B21" s="3" t="s">
        <v>82</v>
      </c>
    </row>
    <row r="22" customFormat="false" ht="15" hidden="false" customHeight="false" outlineLevel="0" collapsed="false">
      <c r="B22" s="11" t="s">
        <v>83</v>
      </c>
      <c r="C22" s="14" t="n">
        <v>0.87</v>
      </c>
      <c r="D22" s="11" t="s">
        <v>54</v>
      </c>
      <c r="E22" s="13" t="s">
        <v>84</v>
      </c>
    </row>
    <row r="23" customFormat="false" ht="15" hidden="false" customHeight="false" outlineLevel="0" collapsed="false">
      <c r="B23" s="11" t="s">
        <v>85</v>
      </c>
      <c r="C23" s="14" t="n">
        <v>0.71</v>
      </c>
      <c r="D23" s="11" t="s">
        <v>54</v>
      </c>
      <c r="E23" s="13" t="s">
        <v>86</v>
      </c>
    </row>
    <row r="24" customFormat="false" ht="15" hidden="false" customHeight="false" outlineLevel="0" collapsed="false">
      <c r="B24" s="11" t="s">
        <v>87</v>
      </c>
      <c r="C24" s="14" t="n">
        <v>0.8</v>
      </c>
      <c r="D24" s="11" t="s">
        <v>54</v>
      </c>
      <c r="E24" s="13" t="s">
        <v>88</v>
      </c>
    </row>
    <row r="25" customFormat="false" ht="15" hidden="false" customHeight="false" outlineLevel="0" collapsed="false">
      <c r="B25" s="11" t="s">
        <v>89</v>
      </c>
      <c r="C25" s="15" t="n">
        <v>0.03</v>
      </c>
      <c r="D25" s="11" t="s">
        <v>54</v>
      </c>
      <c r="E25" s="13" t="s">
        <v>90</v>
      </c>
    </row>
    <row r="26" customFormat="false" ht="15" hidden="false" customHeight="false" outlineLevel="0" collapsed="false">
      <c r="B26" s="11" t="s">
        <v>91</v>
      </c>
      <c r="C26" s="12" t="n">
        <v>40</v>
      </c>
      <c r="D26" s="11" t="s">
        <v>92</v>
      </c>
      <c r="E26" s="1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4" min="13" style="0" width="11"/>
  </cols>
  <sheetData>
    <row r="1" customFormat="false" ht="17.35" hidden="false" customHeight="false" outlineLevel="0" collapsed="false">
      <c r="B1" s="1" t="s">
        <v>94</v>
      </c>
    </row>
    <row r="3" customFormat="false" ht="15" hidden="false" customHeight="false" outlineLevel="0" collapsed="false">
      <c r="B3" s="3" t="s">
        <v>95</v>
      </c>
    </row>
    <row r="4" customFormat="false" ht="18" hidden="false" customHeight="true" outlineLevel="0" collapsed="false">
      <c r="B4" s="10" t="s">
        <v>96</v>
      </c>
      <c r="C4" s="10" t="s">
        <v>43</v>
      </c>
      <c r="D4" s="10" t="s">
        <v>97</v>
      </c>
    </row>
    <row r="5" customFormat="false" ht="15" hidden="false" customHeight="false" outlineLevel="0" collapsed="false">
      <c r="B5" s="11" t="s">
        <v>98</v>
      </c>
      <c r="C5" s="16" t="n">
        <f aca="false">ROUNDUP(Inputs!$C$14*Inputs!$C$15,0)</f>
        <v>6</v>
      </c>
      <c r="D5" s="11" t="s">
        <v>99</v>
      </c>
    </row>
    <row r="6" customFormat="false" ht="15" hidden="false" customHeight="false" outlineLevel="0" collapsed="false">
      <c r="B6" s="11" t="s">
        <v>100</v>
      </c>
      <c r="C6" s="16" t="n">
        <f aca="false">E13</f>
        <v>6</v>
      </c>
      <c r="D6" s="11" t="s">
        <v>66</v>
      </c>
    </row>
    <row r="7" customFormat="false" ht="15" hidden="false" customHeight="false" outlineLevel="0" collapsed="false">
      <c r="B7" s="11" t="s">
        <v>101</v>
      </c>
      <c r="C7" s="17" t="str">
        <f aca="false">IF(C6&gt;=C5,"OK","Add chargers")</f>
        <v>OK</v>
      </c>
    </row>
    <row r="9" customFormat="false" ht="15" hidden="false" customHeight="false" outlineLevel="0" collapsed="false">
      <c r="B9" s="3" t="s">
        <v>102</v>
      </c>
    </row>
    <row r="10" customFormat="false" ht="36" hidden="false" customHeight="true" outlineLevel="0" collapsed="false">
      <c r="B10" s="10" t="s">
        <v>103</v>
      </c>
      <c r="C10" s="10" t="s">
        <v>104</v>
      </c>
      <c r="D10" s="10" t="s">
        <v>105</v>
      </c>
      <c r="E10" s="10" t="s">
        <v>106</v>
      </c>
      <c r="F10" s="10" t="s">
        <v>107</v>
      </c>
      <c r="G10" s="10" t="s">
        <v>108</v>
      </c>
      <c r="H10" s="10" t="s">
        <v>109</v>
      </c>
      <c r="I10" s="10" t="s">
        <v>110</v>
      </c>
      <c r="J10" s="10" t="s">
        <v>111</v>
      </c>
      <c r="K10" s="10" t="s">
        <v>112</v>
      </c>
      <c r="L10" s="10" t="s">
        <v>113</v>
      </c>
      <c r="M10" s="10" t="s">
        <v>114</v>
      </c>
      <c r="N10" s="10" t="s">
        <v>115</v>
      </c>
    </row>
    <row r="11" customFormat="false" ht="15" hidden="false" customHeight="false" outlineLevel="0" collapsed="false">
      <c r="B11" s="18" t="s">
        <v>116</v>
      </c>
      <c r="C11" s="12" t="s">
        <v>117</v>
      </c>
      <c r="D11" s="12" t="s">
        <v>118</v>
      </c>
      <c r="E11" s="19" t="n">
        <v>4</v>
      </c>
      <c r="F11" s="20" t="n">
        <v>7.4</v>
      </c>
      <c r="G11" s="14" t="n">
        <v>0.98</v>
      </c>
      <c r="H11" s="21" t="n">
        <f aca="false">F11/G11</f>
        <v>7.55102040816327</v>
      </c>
      <c r="I11" s="22" t="n">
        <f aca="false">Inputs!$C$20</f>
        <v>0.99</v>
      </c>
      <c r="J11" s="19" t="n">
        <v>1</v>
      </c>
      <c r="K11" s="23" t="n">
        <f aca="false">Inputs!$C$12</f>
        <v>240</v>
      </c>
      <c r="L11" s="24" t="n">
        <f aca="false">IF(J11=1,H11*1000/(K11*I11),H11*1000/(SQRT(3)*K11*I11))</f>
        <v>31.7803889232461</v>
      </c>
      <c r="M11" s="24" t="n">
        <f aca="false">E11*H11</f>
        <v>30.2040816326531</v>
      </c>
      <c r="N11" s="24" t="n">
        <f aca="false">M11/I11</f>
        <v>30.5091733663162</v>
      </c>
    </row>
    <row r="12" customFormat="false" ht="15" hidden="false" customHeight="false" outlineLevel="0" collapsed="false">
      <c r="B12" s="18" t="s">
        <v>119</v>
      </c>
      <c r="C12" s="12" t="s">
        <v>120</v>
      </c>
      <c r="D12" s="12" t="s">
        <v>121</v>
      </c>
      <c r="E12" s="19" t="n">
        <v>2</v>
      </c>
      <c r="F12" s="20" t="n">
        <v>30</v>
      </c>
      <c r="G12" s="14" t="n">
        <v>0.94</v>
      </c>
      <c r="H12" s="21" t="n">
        <f aca="false">F12/G12</f>
        <v>31.9148936170213</v>
      </c>
      <c r="I12" s="22" t="n">
        <f aca="false">Inputs!$C$20</f>
        <v>0.99</v>
      </c>
      <c r="J12" s="19" t="n">
        <v>3</v>
      </c>
      <c r="K12" s="23" t="n">
        <f aca="false">Inputs!$C$11</f>
        <v>415</v>
      </c>
      <c r="L12" s="24" t="n">
        <f aca="false">IF(J12=1,H12*1000/(K12*I12),H12*1000/(SQRT(3)*K12*I12))</f>
        <v>44.8486611194974</v>
      </c>
      <c r="M12" s="24" t="n">
        <f aca="false">E12*H12</f>
        <v>63.8297872340426</v>
      </c>
      <c r="N12" s="24" t="n">
        <f aca="false">M12/I12</f>
        <v>64.4745325596389</v>
      </c>
    </row>
    <row r="13" customFormat="false" ht="15" hidden="false" customHeight="false" outlineLevel="0" collapsed="false">
      <c r="C13" s="25" t="s">
        <v>122</v>
      </c>
      <c r="E13" s="26" t="n">
        <f aca="false">SUM(E11:E12)</f>
        <v>6</v>
      </c>
      <c r="M13" s="27" t="n">
        <f aca="false">SUM(M11:M12)</f>
        <v>94.0338688666956</v>
      </c>
      <c r="N13" s="27" t="n">
        <f aca="false">SUM(N11:N12)</f>
        <v>94.9837059259552</v>
      </c>
    </row>
    <row r="15" customFormat="false" ht="15" hidden="false" customHeight="false" outlineLevel="0" collapsed="false">
      <c r="B15" s="3" t="s">
        <v>123</v>
      </c>
    </row>
    <row r="16" customFormat="false" ht="36" hidden="false" customHeight="true" outlineLevel="0" collapsed="false">
      <c r="B16" s="10" t="s">
        <v>124</v>
      </c>
      <c r="C16" s="10" t="s">
        <v>125</v>
      </c>
      <c r="D16" s="10" t="s">
        <v>126</v>
      </c>
      <c r="E16" s="10" t="s">
        <v>127</v>
      </c>
      <c r="F16" s="10" t="s">
        <v>128</v>
      </c>
      <c r="G16" s="10" t="s">
        <v>129</v>
      </c>
    </row>
    <row r="17" customFormat="false" ht="15" hidden="false" customHeight="false" outlineLevel="0" collapsed="false">
      <c r="B17" s="28" t="s">
        <v>130</v>
      </c>
      <c r="C17" s="19" t="n">
        <v>2</v>
      </c>
      <c r="D17" s="24" t="n">
        <f aca="false">C17*$H$11</f>
        <v>15.1020408163265</v>
      </c>
      <c r="E17" s="24" t="n">
        <f aca="false">$M$12/3</f>
        <v>21.2765957446809</v>
      </c>
      <c r="F17" s="24" t="n">
        <f aca="false">D17+E17</f>
        <v>36.3786365610074</v>
      </c>
      <c r="G17" s="29" t="n">
        <f aca="false">F17/AVERAGE($F$17:$F$19)-1</f>
        <v>0.160602142593277</v>
      </c>
    </row>
    <row r="18" customFormat="false" ht="15" hidden="false" customHeight="false" outlineLevel="0" collapsed="false">
      <c r="B18" s="28" t="s">
        <v>131</v>
      </c>
      <c r="C18" s="19" t="n">
        <v>1</v>
      </c>
      <c r="D18" s="24" t="n">
        <f aca="false">C18*$H$11</f>
        <v>7.55102040816327</v>
      </c>
      <c r="E18" s="24" t="n">
        <f aca="false">$M$12/3</f>
        <v>21.2765957446809</v>
      </c>
      <c r="F18" s="24" t="n">
        <f aca="false">D18+E18</f>
        <v>28.8276161528441</v>
      </c>
      <c r="G18" s="29" t="n">
        <f aca="false">F18/AVERAGE($F$17:$F$19)-1</f>
        <v>-0.0803010712966383</v>
      </c>
    </row>
    <row r="19" customFormat="false" ht="15" hidden="false" customHeight="false" outlineLevel="0" collapsed="false">
      <c r="B19" s="28" t="s">
        <v>132</v>
      </c>
      <c r="C19" s="19" t="n">
        <v>1</v>
      </c>
      <c r="D19" s="24" t="n">
        <f aca="false">C19*$H$11</f>
        <v>7.55102040816327</v>
      </c>
      <c r="E19" s="24" t="n">
        <f aca="false">$M$12/3</f>
        <v>21.2765957446809</v>
      </c>
      <c r="F19" s="24" t="n">
        <f aca="false">D19+E19</f>
        <v>28.8276161528441</v>
      </c>
      <c r="G19" s="29" t="n">
        <f aca="false">F19/AVERAGE($F$17:$F$19)-1</f>
        <v>-0.0803010712966383</v>
      </c>
    </row>
    <row r="21" customFormat="false" ht="15" hidden="false" customHeight="false" outlineLevel="0" collapsed="false">
      <c r="B21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7.35" hidden="false" customHeight="false" outlineLevel="0" collapsed="false">
      <c r="B1" s="1" t="s">
        <v>134</v>
      </c>
    </row>
    <row r="3" customFormat="false" ht="18" hidden="false" customHeight="true" outlineLevel="0" collapsed="false">
      <c r="B3" s="10" t="s">
        <v>96</v>
      </c>
      <c r="C3" s="10" t="s">
        <v>43</v>
      </c>
      <c r="D3" s="10" t="s">
        <v>135</v>
      </c>
    </row>
    <row r="4" customFormat="false" ht="15" hidden="false" customHeight="false" outlineLevel="0" collapsed="false">
      <c r="B4" s="11" t="s">
        <v>136</v>
      </c>
      <c r="C4" s="24" t="n">
        <f aca="false">SQRT((Inputs!$C$5*Inputs!$C$7)^2+(Inputs!$C$6*Inputs!$C$7)^2)</f>
        <v>169.625995039086</v>
      </c>
      <c r="D4" s="13" t="s">
        <v>57</v>
      </c>
    </row>
    <row r="5" customFormat="false" ht="15" hidden="false" customHeight="false" outlineLevel="0" collapsed="false">
      <c r="B5" s="11" t="s">
        <v>137</v>
      </c>
      <c r="C5" s="24" t="n">
        <f aca="false">Inputs!$C$8*Inputs!$C$9/(1+Inputs!$C$10)</f>
        <v>210</v>
      </c>
      <c r="D5" s="13" t="s">
        <v>138</v>
      </c>
    </row>
    <row r="6" customFormat="false" ht="15" hidden="false" customHeight="false" outlineLevel="0" collapsed="false">
      <c r="B6" s="11" t="s">
        <v>139</v>
      </c>
      <c r="C6" s="24" t="n">
        <f aca="false">C5-C4</f>
        <v>40.3740049609141</v>
      </c>
      <c r="D6" s="13" t="s">
        <v>57</v>
      </c>
    </row>
    <row r="7" customFormat="false" ht="15" hidden="false" customHeight="false" outlineLevel="0" collapsed="false">
      <c r="B7" s="11" t="s">
        <v>140</v>
      </c>
      <c r="C7" s="30" t="n">
        <f aca="false">Chargers!M13</f>
        <v>94.0338688666956</v>
      </c>
      <c r="D7" s="13" t="s">
        <v>48</v>
      </c>
    </row>
    <row r="8" customFormat="false" ht="15" hidden="false" customHeight="false" outlineLevel="0" collapsed="false">
      <c r="B8" s="11" t="s">
        <v>141</v>
      </c>
      <c r="C8" s="24" t="n">
        <f aca="false">SQRT((Inputs!$C$5*Inputs!$C$7+C7)^2+(Inputs!$C$6*Inputs!$C$7+C7*TAN(ACOS(Inputs!$C$20)))^2)</f>
        <v>260.88268127267</v>
      </c>
      <c r="D8" s="13" t="s">
        <v>142</v>
      </c>
    </row>
    <row r="9" customFormat="false" ht="15" hidden="false" customHeight="false" outlineLevel="0" collapsed="false">
      <c r="B9" s="11" t="s">
        <v>143</v>
      </c>
      <c r="C9" s="24" t="n">
        <f aca="false">C8*(1+Inputs!$C$10)/Inputs!$C$9</f>
        <v>391.324021909005</v>
      </c>
      <c r="D9" s="13" t="s">
        <v>57</v>
      </c>
    </row>
    <row r="10" customFormat="false" ht="15" hidden="false" customHeight="false" outlineLevel="0" collapsed="false">
      <c r="B10" s="18" t="s">
        <v>144</v>
      </c>
      <c r="C10" s="31" t="n">
        <f aca="false">IFERROR(INDEX(Ref_Tables!$N$5:$N$14,COUNTIF(Ref_Tables!$N$5:$N$14,"&lt;"&amp;C9)+1),"Exceeds table")</f>
        <v>400</v>
      </c>
      <c r="D10" s="13" t="s">
        <v>57</v>
      </c>
    </row>
    <row r="11" customFormat="false" ht="15" hidden="false" customHeight="false" outlineLevel="0" collapsed="false">
      <c r="B11" s="11" t="s">
        <v>145</v>
      </c>
      <c r="C11" s="24" t="n">
        <f aca="false">SQRT(C5^2-(Inputs!$C$6*Inputs!$C$7)^2)-Inputs!$C$5*Inputs!$C$7</f>
        <v>44.6045031289845</v>
      </c>
      <c r="D11" s="13" t="s">
        <v>146</v>
      </c>
    </row>
    <row r="12" customFormat="false" ht="15" hidden="false" customHeight="false" outlineLevel="0" collapsed="false">
      <c r="B12" s="18" t="s">
        <v>147</v>
      </c>
      <c r="C12" s="31" t="n">
        <f aca="false">FLOOR(C11,5)</f>
        <v>40</v>
      </c>
      <c r="D12" s="13" t="s">
        <v>148</v>
      </c>
    </row>
    <row r="13" customFormat="false" ht="15" hidden="false" customHeight="false" outlineLevel="0" collapsed="false">
      <c r="B13" s="11" t="s">
        <v>149</v>
      </c>
      <c r="C13" s="24" t="n">
        <f aca="false">SQRT((Inputs!$C$5*Inputs!$C$7+C12)^2+(Inputs!$C$6*Inputs!$C$7+C12*TAN(ACOS(Inputs!$C$20)))^2)</f>
        <v>208.037263499473</v>
      </c>
      <c r="D13" s="13" t="s">
        <v>57</v>
      </c>
    </row>
    <row r="14" customFormat="false" ht="15" hidden="false" customHeight="false" outlineLevel="0" collapsed="false">
      <c r="B14" s="11" t="s">
        <v>150</v>
      </c>
      <c r="C14" s="24" t="n">
        <f aca="false">C13*(1+Inputs!$C$10)/Inputs!$C$9</f>
        <v>312.05589524921</v>
      </c>
      <c r="D14" s="13" t="s">
        <v>57</v>
      </c>
    </row>
    <row r="15" customFormat="false" ht="15" hidden="false" customHeight="false" outlineLevel="0" collapsed="false">
      <c r="B15" s="18" t="s">
        <v>101</v>
      </c>
      <c r="C15" s="32" t="str">
        <f aca="false">IF(C14&lt;=Inputs!$C$8,"OK: "&amp;Inputs!$C$8&amp;" kVA transformer retained","Upsize transformer")</f>
        <v>OK: 315 kVA transformer retained</v>
      </c>
      <c r="D15" s="13"/>
    </row>
    <row r="16" customFormat="false" ht="15" hidden="false" customHeight="false" outlineLevel="0" collapsed="false">
      <c r="B16" s="11" t="s">
        <v>151</v>
      </c>
      <c r="C16" s="33" t="n">
        <f aca="false">C12/C7</f>
        <v>0.42537864794976</v>
      </c>
      <c r="D16" s="13" t="s">
        <v>152</v>
      </c>
    </row>
    <row r="17" customFormat="false" ht="15" hidden="false" customHeight="false" outlineLevel="0" collapsed="false">
      <c r="B17" s="11" t="s">
        <v>153</v>
      </c>
      <c r="C17" s="24" t="n">
        <f aca="false">C12/Chargers!E13</f>
        <v>6.66666666666667</v>
      </c>
      <c r="D17" s="13" t="s">
        <v>48</v>
      </c>
    </row>
    <row r="18" customFormat="false" ht="15" hidden="false" customHeight="false" outlineLevel="0" collapsed="false">
      <c r="B18" s="11" t="s">
        <v>154</v>
      </c>
      <c r="C18" s="33" t="n">
        <f aca="false">C13/Inputs!$C$8</f>
        <v>0.660435757141185</v>
      </c>
      <c r="D18" s="13"/>
    </row>
    <row r="20" customFormat="false" ht="15" hidden="false" customHeight="false" outlineLevel="0" collapsed="false">
      <c r="B20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B1" s="1" t="s">
        <v>156</v>
      </c>
    </row>
    <row r="2" customFormat="false" ht="15" hidden="false" customHeight="false" outlineLevel="0" collapsed="false">
      <c r="B2" s="2" t="s">
        <v>157</v>
      </c>
    </row>
    <row r="4" customFormat="false" ht="36" hidden="false" customHeight="true" outlineLevel="0" collapsed="false">
      <c r="B4" s="10" t="s">
        <v>158</v>
      </c>
      <c r="C4" s="10" t="s">
        <v>159</v>
      </c>
      <c r="D4" s="10" t="s">
        <v>160</v>
      </c>
      <c r="E4" s="10" t="s">
        <v>161</v>
      </c>
      <c r="F4" s="10" t="s">
        <v>162</v>
      </c>
      <c r="G4" s="10" t="s">
        <v>163</v>
      </c>
      <c r="H4" s="10" t="s">
        <v>164</v>
      </c>
    </row>
    <row r="5" customFormat="false" ht="15" hidden="false" customHeight="false" outlineLevel="0" collapsed="false">
      <c r="B5" s="34" t="n">
        <v>0</v>
      </c>
      <c r="C5" s="15" t="n">
        <v>0.25</v>
      </c>
      <c r="D5" s="24" t="n">
        <f aca="false">Inputs!$C$5*Inputs!$C$7*C5</f>
        <v>37.377</v>
      </c>
      <c r="E5" s="24" t="n">
        <f aca="false">Inputs!$C$6*Inputs!$C$7*C5</f>
        <v>20.03175</v>
      </c>
      <c r="F5" s="35" t="n">
        <f aca="false">MAX(0,MIN(Chargers!$M$13,SQRT(Transformer_Impact!$C$5^2-E5^2)-D5))</f>
        <v>94.0338688666956</v>
      </c>
      <c r="G5" s="36" t="str">
        <f aca="false">IF(AND(B5&gt;=Inputs!$C$18,B5&lt;Inputs!$C$19),"Yes","No")</f>
        <v>No</v>
      </c>
      <c r="H5" s="24" t="n">
        <f aca="false">IF(G5="Yes",F5,0)</f>
        <v>0</v>
      </c>
    </row>
    <row r="6" customFormat="false" ht="15" hidden="false" customHeight="false" outlineLevel="0" collapsed="false">
      <c r="B6" s="34" t="n">
        <v>1</v>
      </c>
      <c r="C6" s="15" t="n">
        <v>0.25</v>
      </c>
      <c r="D6" s="24" t="n">
        <f aca="false">Inputs!$C$5*Inputs!$C$7*C6</f>
        <v>37.377</v>
      </c>
      <c r="E6" s="24" t="n">
        <f aca="false">Inputs!$C$6*Inputs!$C$7*C6</f>
        <v>20.03175</v>
      </c>
      <c r="F6" s="35" t="n">
        <f aca="false">MAX(0,MIN(Chargers!$M$13,SQRT(Transformer_Impact!$C$5^2-E6^2)-D6))</f>
        <v>94.0338688666956</v>
      </c>
      <c r="G6" s="36" t="str">
        <f aca="false">IF(AND(B6&gt;=Inputs!$C$18,B6&lt;Inputs!$C$19),"Yes","No")</f>
        <v>No</v>
      </c>
      <c r="H6" s="24" t="n">
        <f aca="false">IF(G6="Yes",F6,0)</f>
        <v>0</v>
      </c>
    </row>
    <row r="7" customFormat="false" ht="15" hidden="false" customHeight="false" outlineLevel="0" collapsed="false">
      <c r="B7" s="34" t="n">
        <v>2</v>
      </c>
      <c r="C7" s="15" t="n">
        <v>0.25</v>
      </c>
      <c r="D7" s="24" t="n">
        <f aca="false">Inputs!$C$5*Inputs!$C$7*C7</f>
        <v>37.377</v>
      </c>
      <c r="E7" s="24" t="n">
        <f aca="false">Inputs!$C$6*Inputs!$C$7*C7</f>
        <v>20.03175</v>
      </c>
      <c r="F7" s="35" t="n">
        <f aca="false">MAX(0,MIN(Chargers!$M$13,SQRT(Transformer_Impact!$C$5^2-E7^2)-D7))</f>
        <v>94.0338688666956</v>
      </c>
      <c r="G7" s="36" t="str">
        <f aca="false">IF(AND(B7&gt;=Inputs!$C$18,B7&lt;Inputs!$C$19),"Yes","No")</f>
        <v>No</v>
      </c>
      <c r="H7" s="24" t="n">
        <f aca="false">IF(G7="Yes",F7,0)</f>
        <v>0</v>
      </c>
    </row>
    <row r="8" customFormat="false" ht="15" hidden="false" customHeight="false" outlineLevel="0" collapsed="false">
      <c r="B8" s="34" t="n">
        <v>3</v>
      </c>
      <c r="C8" s="15" t="n">
        <v>0.25</v>
      </c>
      <c r="D8" s="24" t="n">
        <f aca="false">Inputs!$C$5*Inputs!$C$7*C8</f>
        <v>37.377</v>
      </c>
      <c r="E8" s="24" t="n">
        <f aca="false">Inputs!$C$6*Inputs!$C$7*C8</f>
        <v>20.03175</v>
      </c>
      <c r="F8" s="35" t="n">
        <f aca="false">MAX(0,MIN(Chargers!$M$13,SQRT(Transformer_Impact!$C$5^2-E8^2)-D8))</f>
        <v>94.0338688666956</v>
      </c>
      <c r="G8" s="36" t="str">
        <f aca="false">IF(AND(B8&gt;=Inputs!$C$18,B8&lt;Inputs!$C$19),"Yes","No")</f>
        <v>No</v>
      </c>
      <c r="H8" s="24" t="n">
        <f aca="false">IF(G8="Yes",F8,0)</f>
        <v>0</v>
      </c>
    </row>
    <row r="9" customFormat="false" ht="15" hidden="false" customHeight="false" outlineLevel="0" collapsed="false">
      <c r="B9" s="34" t="n">
        <v>4</v>
      </c>
      <c r="C9" s="15" t="n">
        <v>0.25</v>
      </c>
      <c r="D9" s="24" t="n">
        <f aca="false">Inputs!$C$5*Inputs!$C$7*C9</f>
        <v>37.377</v>
      </c>
      <c r="E9" s="24" t="n">
        <f aca="false">Inputs!$C$6*Inputs!$C$7*C9</f>
        <v>20.03175</v>
      </c>
      <c r="F9" s="35" t="n">
        <f aca="false">MAX(0,MIN(Chargers!$M$13,SQRT(Transformer_Impact!$C$5^2-E9^2)-D9))</f>
        <v>94.0338688666956</v>
      </c>
      <c r="G9" s="36" t="str">
        <f aca="false">IF(AND(B9&gt;=Inputs!$C$18,B9&lt;Inputs!$C$19),"Yes","No")</f>
        <v>No</v>
      </c>
      <c r="H9" s="24" t="n">
        <f aca="false">IF(G9="Yes",F9,0)</f>
        <v>0</v>
      </c>
    </row>
    <row r="10" customFormat="false" ht="15" hidden="false" customHeight="false" outlineLevel="0" collapsed="false">
      <c r="B10" s="34" t="n">
        <v>5</v>
      </c>
      <c r="C10" s="15" t="n">
        <v>0.25</v>
      </c>
      <c r="D10" s="24" t="n">
        <f aca="false">Inputs!$C$5*Inputs!$C$7*C10</f>
        <v>37.377</v>
      </c>
      <c r="E10" s="24" t="n">
        <f aca="false">Inputs!$C$6*Inputs!$C$7*C10</f>
        <v>20.03175</v>
      </c>
      <c r="F10" s="35" t="n">
        <f aca="false">MAX(0,MIN(Chargers!$M$13,SQRT(Transformer_Impact!$C$5^2-E10^2)-D10))</f>
        <v>94.0338688666956</v>
      </c>
      <c r="G10" s="36" t="str">
        <f aca="false">IF(AND(B10&gt;=Inputs!$C$18,B10&lt;Inputs!$C$19),"Yes","No")</f>
        <v>No</v>
      </c>
      <c r="H10" s="24" t="n">
        <f aca="false">IF(G10="Yes",F10,0)</f>
        <v>0</v>
      </c>
    </row>
    <row r="11" customFormat="false" ht="15" hidden="false" customHeight="false" outlineLevel="0" collapsed="false">
      <c r="B11" s="34" t="n">
        <v>6</v>
      </c>
      <c r="C11" s="15" t="n">
        <v>0.25</v>
      </c>
      <c r="D11" s="24" t="n">
        <f aca="false">Inputs!$C$5*Inputs!$C$7*C11</f>
        <v>37.377</v>
      </c>
      <c r="E11" s="24" t="n">
        <f aca="false">Inputs!$C$6*Inputs!$C$7*C11</f>
        <v>20.03175</v>
      </c>
      <c r="F11" s="35" t="n">
        <f aca="false">MAX(0,MIN(Chargers!$M$13,SQRT(Transformer_Impact!$C$5^2-E11^2)-D11))</f>
        <v>94.0338688666956</v>
      </c>
      <c r="G11" s="36" t="str">
        <f aca="false">IF(AND(B11&gt;=Inputs!$C$18,B11&lt;Inputs!$C$19),"Yes","No")</f>
        <v>No</v>
      </c>
      <c r="H11" s="24" t="n">
        <f aca="false">IF(G11="Yes",F11,0)</f>
        <v>0</v>
      </c>
    </row>
    <row r="12" customFormat="false" ht="15" hidden="false" customHeight="false" outlineLevel="0" collapsed="false">
      <c r="B12" s="34" t="n">
        <v>7</v>
      </c>
      <c r="C12" s="15" t="n">
        <v>0.4</v>
      </c>
      <c r="D12" s="24" t="n">
        <f aca="false">Inputs!$C$5*Inputs!$C$7*C12</f>
        <v>59.8032</v>
      </c>
      <c r="E12" s="24" t="n">
        <f aca="false">Inputs!$C$6*Inputs!$C$7*C12</f>
        <v>32.0508</v>
      </c>
      <c r="F12" s="35" t="n">
        <f aca="false">MAX(0,MIN(Chargers!$M$13,SQRT(Transformer_Impact!$C$5^2-E12^2)-D12))</f>
        <v>94.0338688666956</v>
      </c>
      <c r="G12" s="36" t="str">
        <f aca="false">IF(AND(B12&gt;=Inputs!$C$18,B12&lt;Inputs!$C$19),"Yes","No")</f>
        <v>No</v>
      </c>
      <c r="H12" s="24" t="n">
        <f aca="false">IF(G12="Yes",F12,0)</f>
        <v>0</v>
      </c>
    </row>
    <row r="13" customFormat="false" ht="15" hidden="false" customHeight="false" outlineLevel="0" collapsed="false">
      <c r="B13" s="34" t="n">
        <v>8</v>
      </c>
      <c r="C13" s="15" t="n">
        <v>0.6</v>
      </c>
      <c r="D13" s="24" t="n">
        <f aca="false">Inputs!$C$5*Inputs!$C$7*C13</f>
        <v>89.7048</v>
      </c>
      <c r="E13" s="24" t="n">
        <f aca="false">Inputs!$C$6*Inputs!$C$7*C13</f>
        <v>48.0762</v>
      </c>
      <c r="F13" s="35" t="n">
        <f aca="false">MAX(0,MIN(Chargers!$M$13,SQRT(Transformer_Impact!$C$5^2-E13^2)-D13))</f>
        <v>94.0338688666956</v>
      </c>
      <c r="G13" s="36" t="str">
        <f aca="false">IF(AND(B13&gt;=Inputs!$C$18,B13&lt;Inputs!$C$19),"Yes","No")</f>
        <v>Yes</v>
      </c>
      <c r="H13" s="24" t="n">
        <f aca="false">IF(G13="Yes",F13,0)</f>
        <v>94.0338688666956</v>
      </c>
    </row>
    <row r="14" customFormat="false" ht="15" hidden="false" customHeight="false" outlineLevel="0" collapsed="false">
      <c r="B14" s="34" t="n">
        <v>9</v>
      </c>
      <c r="C14" s="15" t="n">
        <v>0.85</v>
      </c>
      <c r="D14" s="24" t="n">
        <f aca="false">Inputs!$C$5*Inputs!$C$7*C14</f>
        <v>127.0818</v>
      </c>
      <c r="E14" s="24" t="n">
        <f aca="false">Inputs!$C$6*Inputs!$C$7*C14</f>
        <v>68.10795</v>
      </c>
      <c r="F14" s="35" t="n">
        <f aca="false">MAX(0,MIN(Chargers!$M$13,SQRT(Transformer_Impact!$C$5^2-E14^2)-D14))</f>
        <v>71.5669028570726</v>
      </c>
      <c r="G14" s="36" t="str">
        <f aca="false">IF(AND(B14&gt;=Inputs!$C$18,B14&lt;Inputs!$C$19),"Yes","No")</f>
        <v>Yes</v>
      </c>
      <c r="H14" s="24" t="n">
        <f aca="false">IF(G14="Yes",F14,0)</f>
        <v>71.5669028570726</v>
      </c>
    </row>
    <row r="15" customFormat="false" ht="15" hidden="false" customHeight="false" outlineLevel="0" collapsed="false">
      <c r="B15" s="34" t="n">
        <v>10</v>
      </c>
      <c r="C15" s="15" t="n">
        <v>1</v>
      </c>
      <c r="D15" s="24" t="n">
        <f aca="false">Inputs!$C$5*Inputs!$C$7*C15</f>
        <v>149.508</v>
      </c>
      <c r="E15" s="24" t="n">
        <f aca="false">Inputs!$C$6*Inputs!$C$7*C15</f>
        <v>80.127</v>
      </c>
      <c r="F15" s="35" t="n">
        <f aca="false">MAX(0,MIN(Chargers!$M$13,SQRT(Transformer_Impact!$C$5^2-E15^2)-D15))</f>
        <v>44.6045031289845</v>
      </c>
      <c r="G15" s="36" t="str">
        <f aca="false">IF(AND(B15&gt;=Inputs!$C$18,B15&lt;Inputs!$C$19),"Yes","No")</f>
        <v>Yes</v>
      </c>
      <c r="H15" s="24" t="n">
        <f aca="false">IF(G15="Yes",F15,0)</f>
        <v>44.6045031289845</v>
      </c>
    </row>
    <row r="16" customFormat="false" ht="15" hidden="false" customHeight="false" outlineLevel="0" collapsed="false">
      <c r="B16" s="34" t="n">
        <v>11</v>
      </c>
      <c r="C16" s="15" t="n">
        <v>1</v>
      </c>
      <c r="D16" s="24" t="n">
        <f aca="false">Inputs!$C$5*Inputs!$C$7*C16</f>
        <v>149.508</v>
      </c>
      <c r="E16" s="24" t="n">
        <f aca="false">Inputs!$C$6*Inputs!$C$7*C16</f>
        <v>80.127</v>
      </c>
      <c r="F16" s="35" t="n">
        <f aca="false">MAX(0,MIN(Chargers!$M$13,SQRT(Transformer_Impact!$C$5^2-E16^2)-D16))</f>
        <v>44.6045031289845</v>
      </c>
      <c r="G16" s="36" t="str">
        <f aca="false">IF(AND(B16&gt;=Inputs!$C$18,B16&lt;Inputs!$C$19),"Yes","No")</f>
        <v>Yes</v>
      </c>
      <c r="H16" s="24" t="n">
        <f aca="false">IF(G16="Yes",F16,0)</f>
        <v>44.6045031289845</v>
      </c>
    </row>
    <row r="17" customFormat="false" ht="15" hidden="false" customHeight="false" outlineLevel="0" collapsed="false">
      <c r="B17" s="34" t="n">
        <v>12</v>
      </c>
      <c r="C17" s="15" t="n">
        <v>1</v>
      </c>
      <c r="D17" s="24" t="n">
        <f aca="false">Inputs!$C$5*Inputs!$C$7*C17</f>
        <v>149.508</v>
      </c>
      <c r="E17" s="24" t="n">
        <f aca="false">Inputs!$C$6*Inputs!$C$7*C17</f>
        <v>80.127</v>
      </c>
      <c r="F17" s="35" t="n">
        <f aca="false">MAX(0,MIN(Chargers!$M$13,SQRT(Transformer_Impact!$C$5^2-E17^2)-D17))</f>
        <v>44.6045031289845</v>
      </c>
      <c r="G17" s="36" t="str">
        <f aca="false">IF(AND(B17&gt;=Inputs!$C$18,B17&lt;Inputs!$C$19),"Yes","No")</f>
        <v>Yes</v>
      </c>
      <c r="H17" s="24" t="n">
        <f aca="false">IF(G17="Yes",F17,0)</f>
        <v>44.6045031289845</v>
      </c>
    </row>
    <row r="18" customFormat="false" ht="15" hidden="false" customHeight="false" outlineLevel="0" collapsed="false">
      <c r="B18" s="34" t="n">
        <v>13</v>
      </c>
      <c r="C18" s="15" t="n">
        <v>1</v>
      </c>
      <c r="D18" s="24" t="n">
        <f aca="false">Inputs!$C$5*Inputs!$C$7*C18</f>
        <v>149.508</v>
      </c>
      <c r="E18" s="24" t="n">
        <f aca="false">Inputs!$C$6*Inputs!$C$7*C18</f>
        <v>80.127</v>
      </c>
      <c r="F18" s="35" t="n">
        <f aca="false">MAX(0,MIN(Chargers!$M$13,SQRT(Transformer_Impact!$C$5^2-E18^2)-D18))</f>
        <v>44.6045031289845</v>
      </c>
      <c r="G18" s="36" t="str">
        <f aca="false">IF(AND(B18&gt;=Inputs!$C$18,B18&lt;Inputs!$C$19),"Yes","No")</f>
        <v>Yes</v>
      </c>
      <c r="H18" s="24" t="n">
        <f aca="false">IF(G18="Yes",F18,0)</f>
        <v>44.6045031289845</v>
      </c>
    </row>
    <row r="19" customFormat="false" ht="15" hidden="false" customHeight="false" outlineLevel="0" collapsed="false">
      <c r="B19" s="34" t="n">
        <v>14</v>
      </c>
      <c r="C19" s="15" t="n">
        <v>1</v>
      </c>
      <c r="D19" s="24" t="n">
        <f aca="false">Inputs!$C$5*Inputs!$C$7*C19</f>
        <v>149.508</v>
      </c>
      <c r="E19" s="24" t="n">
        <f aca="false">Inputs!$C$6*Inputs!$C$7*C19</f>
        <v>80.127</v>
      </c>
      <c r="F19" s="35" t="n">
        <f aca="false">MAX(0,MIN(Chargers!$M$13,SQRT(Transformer_Impact!$C$5^2-E19^2)-D19))</f>
        <v>44.6045031289845</v>
      </c>
      <c r="G19" s="36" t="str">
        <f aca="false">IF(AND(B19&gt;=Inputs!$C$18,B19&lt;Inputs!$C$19),"Yes","No")</f>
        <v>Yes</v>
      </c>
      <c r="H19" s="24" t="n">
        <f aca="false">IF(G19="Yes",F19,0)</f>
        <v>44.6045031289845</v>
      </c>
    </row>
    <row r="20" customFormat="false" ht="15" hidden="false" customHeight="false" outlineLevel="0" collapsed="false">
      <c r="B20" s="34" t="n">
        <v>15</v>
      </c>
      <c r="C20" s="15" t="n">
        <v>1</v>
      </c>
      <c r="D20" s="24" t="n">
        <f aca="false">Inputs!$C$5*Inputs!$C$7*C20</f>
        <v>149.508</v>
      </c>
      <c r="E20" s="24" t="n">
        <f aca="false">Inputs!$C$6*Inputs!$C$7*C20</f>
        <v>80.127</v>
      </c>
      <c r="F20" s="35" t="n">
        <f aca="false">MAX(0,MIN(Chargers!$M$13,SQRT(Transformer_Impact!$C$5^2-E20^2)-D20))</f>
        <v>44.6045031289845</v>
      </c>
      <c r="G20" s="36" t="str">
        <f aca="false">IF(AND(B20&gt;=Inputs!$C$18,B20&lt;Inputs!$C$19),"Yes","No")</f>
        <v>Yes</v>
      </c>
      <c r="H20" s="24" t="n">
        <f aca="false">IF(G20="Yes",F20,0)</f>
        <v>44.6045031289845</v>
      </c>
    </row>
    <row r="21" customFormat="false" ht="15" hidden="false" customHeight="false" outlineLevel="0" collapsed="false">
      <c r="B21" s="34" t="n">
        <v>16</v>
      </c>
      <c r="C21" s="15" t="n">
        <v>1</v>
      </c>
      <c r="D21" s="24" t="n">
        <f aca="false">Inputs!$C$5*Inputs!$C$7*C21</f>
        <v>149.508</v>
      </c>
      <c r="E21" s="24" t="n">
        <f aca="false">Inputs!$C$6*Inputs!$C$7*C21</f>
        <v>80.127</v>
      </c>
      <c r="F21" s="35" t="n">
        <f aca="false">MAX(0,MIN(Chargers!$M$13,SQRT(Transformer_Impact!$C$5^2-E21^2)-D21))</f>
        <v>44.6045031289845</v>
      </c>
      <c r="G21" s="36" t="str">
        <f aca="false">IF(AND(B21&gt;=Inputs!$C$18,B21&lt;Inputs!$C$19),"Yes","No")</f>
        <v>Yes</v>
      </c>
      <c r="H21" s="24" t="n">
        <f aca="false">IF(G21="Yes",F21,0)</f>
        <v>44.6045031289845</v>
      </c>
    </row>
    <row r="22" customFormat="false" ht="15" hidden="false" customHeight="false" outlineLevel="0" collapsed="false">
      <c r="B22" s="34" t="n">
        <v>17</v>
      </c>
      <c r="C22" s="15" t="n">
        <v>0.9</v>
      </c>
      <c r="D22" s="24" t="n">
        <f aca="false">Inputs!$C$5*Inputs!$C$7*C22</f>
        <v>134.5572</v>
      </c>
      <c r="E22" s="24" t="n">
        <f aca="false">Inputs!$C$6*Inputs!$C$7*C22</f>
        <v>72.1143</v>
      </c>
      <c r="F22" s="35" t="n">
        <f aca="false">MAX(0,MIN(Chargers!$M$13,SQRT(Transformer_Impact!$C$5^2-E22^2)-D22))</f>
        <v>62.6724319915189</v>
      </c>
      <c r="G22" s="36" t="str">
        <f aca="false">IF(AND(B22&gt;=Inputs!$C$18,B22&lt;Inputs!$C$19),"Yes","No")</f>
        <v>Yes</v>
      </c>
      <c r="H22" s="24" t="n">
        <f aca="false">IF(G22="Yes",F22,0)</f>
        <v>62.6724319915189</v>
      </c>
    </row>
    <row r="23" customFormat="false" ht="15" hidden="false" customHeight="false" outlineLevel="0" collapsed="false">
      <c r="B23" s="34" t="n">
        <v>18</v>
      </c>
      <c r="C23" s="15" t="n">
        <v>0.7</v>
      </c>
      <c r="D23" s="24" t="n">
        <f aca="false">Inputs!$C$5*Inputs!$C$7*C23</f>
        <v>104.6556</v>
      </c>
      <c r="E23" s="24" t="n">
        <f aca="false">Inputs!$C$6*Inputs!$C$7*C23</f>
        <v>56.0889</v>
      </c>
      <c r="F23" s="35" t="n">
        <f aca="false">MAX(0,MIN(Chargers!$M$13,SQRT(Transformer_Impact!$C$5^2-E23^2)-D23))</f>
        <v>94.0338688666956</v>
      </c>
      <c r="G23" s="36" t="str">
        <f aca="false">IF(AND(B23&gt;=Inputs!$C$18,B23&lt;Inputs!$C$19),"Yes","No")</f>
        <v>Yes</v>
      </c>
      <c r="H23" s="24" t="n">
        <f aca="false">IF(G23="Yes",F23,0)</f>
        <v>94.0338688666956</v>
      </c>
    </row>
    <row r="24" customFormat="false" ht="15" hidden="false" customHeight="false" outlineLevel="0" collapsed="false">
      <c r="B24" s="34" t="n">
        <v>19</v>
      </c>
      <c r="C24" s="15" t="n">
        <v>0.5</v>
      </c>
      <c r="D24" s="24" t="n">
        <f aca="false">Inputs!$C$5*Inputs!$C$7*C24</f>
        <v>74.754</v>
      </c>
      <c r="E24" s="24" t="n">
        <f aca="false">Inputs!$C$6*Inputs!$C$7*C24</f>
        <v>40.0635</v>
      </c>
      <c r="F24" s="35" t="n">
        <f aca="false">MAX(0,MIN(Chargers!$M$13,SQRT(Transformer_Impact!$C$5^2-E24^2)-D24))</f>
        <v>94.0338688666956</v>
      </c>
      <c r="G24" s="36" t="str">
        <f aca="false">IF(AND(B24&gt;=Inputs!$C$18,B24&lt;Inputs!$C$19),"Yes","No")</f>
        <v>Yes</v>
      </c>
      <c r="H24" s="24" t="n">
        <f aca="false">IF(G24="Yes",F24,0)</f>
        <v>94.0338688666956</v>
      </c>
    </row>
    <row r="25" customFormat="false" ht="15" hidden="false" customHeight="false" outlineLevel="0" collapsed="false">
      <c r="B25" s="34" t="n">
        <v>20</v>
      </c>
      <c r="C25" s="15" t="n">
        <v>0.4</v>
      </c>
      <c r="D25" s="24" t="n">
        <f aca="false">Inputs!$C$5*Inputs!$C$7*C25</f>
        <v>59.8032</v>
      </c>
      <c r="E25" s="24" t="n">
        <f aca="false">Inputs!$C$6*Inputs!$C$7*C25</f>
        <v>32.0508</v>
      </c>
      <c r="F25" s="35" t="n">
        <f aca="false">MAX(0,MIN(Chargers!$M$13,SQRT(Transformer_Impact!$C$5^2-E25^2)-D25))</f>
        <v>94.0338688666956</v>
      </c>
      <c r="G25" s="36" t="str">
        <f aca="false">IF(AND(B25&gt;=Inputs!$C$18,B25&lt;Inputs!$C$19),"Yes","No")</f>
        <v>No</v>
      </c>
      <c r="H25" s="24" t="n">
        <f aca="false">IF(G25="Yes",F25,0)</f>
        <v>0</v>
      </c>
    </row>
    <row r="26" customFormat="false" ht="15" hidden="false" customHeight="false" outlineLevel="0" collapsed="false">
      <c r="B26" s="34" t="n">
        <v>21</v>
      </c>
      <c r="C26" s="15" t="n">
        <v>0.3</v>
      </c>
      <c r="D26" s="24" t="n">
        <f aca="false">Inputs!$C$5*Inputs!$C$7*C26</f>
        <v>44.8524</v>
      </c>
      <c r="E26" s="24" t="n">
        <f aca="false">Inputs!$C$6*Inputs!$C$7*C26</f>
        <v>24.0381</v>
      </c>
      <c r="F26" s="35" t="n">
        <f aca="false">MAX(0,MIN(Chargers!$M$13,SQRT(Transformer_Impact!$C$5^2-E26^2)-D26))</f>
        <v>94.0338688666956</v>
      </c>
      <c r="G26" s="36" t="str">
        <f aca="false">IF(AND(B26&gt;=Inputs!$C$18,B26&lt;Inputs!$C$19),"Yes","No")</f>
        <v>No</v>
      </c>
      <c r="H26" s="24" t="n">
        <f aca="false">IF(G26="Yes",F26,0)</f>
        <v>0</v>
      </c>
    </row>
    <row r="27" customFormat="false" ht="15" hidden="false" customHeight="false" outlineLevel="0" collapsed="false">
      <c r="B27" s="34" t="n">
        <v>22</v>
      </c>
      <c r="C27" s="15" t="n">
        <v>0.3</v>
      </c>
      <c r="D27" s="24" t="n">
        <f aca="false">Inputs!$C$5*Inputs!$C$7*C27</f>
        <v>44.8524</v>
      </c>
      <c r="E27" s="24" t="n">
        <f aca="false">Inputs!$C$6*Inputs!$C$7*C27</f>
        <v>24.0381</v>
      </c>
      <c r="F27" s="35" t="n">
        <f aca="false">MAX(0,MIN(Chargers!$M$13,SQRT(Transformer_Impact!$C$5^2-E27^2)-D27))</f>
        <v>94.0338688666956</v>
      </c>
      <c r="G27" s="36" t="str">
        <f aca="false">IF(AND(B27&gt;=Inputs!$C$18,B27&lt;Inputs!$C$19),"Yes","No")</f>
        <v>No</v>
      </c>
      <c r="H27" s="24" t="n">
        <f aca="false">IF(G27="Yes",F27,0)</f>
        <v>0</v>
      </c>
    </row>
    <row r="28" customFormat="false" ht="15" hidden="false" customHeight="false" outlineLevel="0" collapsed="false">
      <c r="B28" s="34" t="n">
        <v>23</v>
      </c>
      <c r="C28" s="15" t="n">
        <v>0.25</v>
      </c>
      <c r="D28" s="24" t="n">
        <f aca="false">Inputs!$C$5*Inputs!$C$7*C28</f>
        <v>37.377</v>
      </c>
      <c r="E28" s="24" t="n">
        <f aca="false">Inputs!$C$6*Inputs!$C$7*C28</f>
        <v>20.03175</v>
      </c>
      <c r="F28" s="35" t="n">
        <f aca="false">MAX(0,MIN(Chargers!$M$13,SQRT(Transformer_Impact!$C$5^2-E28^2)-D28))</f>
        <v>94.0338688666956</v>
      </c>
      <c r="G28" s="36" t="str">
        <f aca="false">IF(AND(B28&gt;=Inputs!$C$18,B28&lt;Inputs!$C$19),"Yes","No")</f>
        <v>No</v>
      </c>
      <c r="H28" s="24" t="n">
        <f aca="false">IF(G28="Yes",F28,0)</f>
        <v>0</v>
      </c>
    </row>
    <row r="30" customFormat="false" ht="15" hidden="false" customHeight="false" outlineLevel="0" collapsed="false">
      <c r="B30" s="5" t="s">
        <v>165</v>
      </c>
      <c r="H30" s="37" t="n">
        <f aca="false">SUM(H5:H28)</f>
        <v>728.57246335157</v>
      </c>
    </row>
    <row r="31" customFormat="false" ht="15" hidden="false" customHeight="false" outlineLevel="0" collapsed="false">
      <c r="B31" s="5" t="s">
        <v>166</v>
      </c>
      <c r="H31" s="38" t="n">
        <f aca="false">Inputs!$C$16*Inputs!$C$17</f>
        <v>240</v>
      </c>
    </row>
    <row r="32" customFormat="false" ht="15" hidden="false" customHeight="false" outlineLevel="0" collapsed="false">
      <c r="B32" s="5" t="s">
        <v>101</v>
      </c>
      <c r="H32" s="17" t="str">
        <f aca="false">IF(H30&gt;=H31,"OK: "&amp;TEXT(H30/H31,"0.0")&amp;"x the daily need","Short")</f>
        <v>OK: 3.0x the daily need</v>
      </c>
    </row>
    <row r="33" customFormat="false" ht="15" hidden="false" customHeight="false" outlineLevel="0" collapsed="false">
      <c r="B33" s="5" t="s">
        <v>167</v>
      </c>
      <c r="H33" s="39" t="n">
        <f aca="false">MIN(F14:F21)</f>
        <v>44.6045031289845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6" min="5" style="0" width="9"/>
    <col collapsed="false" customWidth="true" hidden="false" outlineLevel="0" max="9" min="7" style="0" width="10"/>
    <col collapsed="false" customWidth="true" hidden="false" outlineLevel="0" max="11" min="10" style="0" width="9"/>
    <col collapsed="false" customWidth="true" hidden="false" outlineLevel="0" max="12" min="12" style="0" width="30"/>
    <col collapsed="false" customWidth="true" hidden="false" outlineLevel="0" max="13" min="13" style="0" width="36"/>
    <col collapsed="false" customWidth="true" hidden="false" outlineLevel="0" max="14" min="14" style="0" width="8"/>
  </cols>
  <sheetData>
    <row r="1" customFormat="false" ht="17.35" hidden="false" customHeight="false" outlineLevel="0" collapsed="false">
      <c r="B1" s="1" t="s">
        <v>168</v>
      </c>
    </row>
    <row r="3" customFormat="false" ht="15" hidden="false" customHeight="false" outlineLevel="0" collapsed="false">
      <c r="B3" s="3" t="s">
        <v>169</v>
      </c>
    </row>
    <row r="4" customFormat="false" ht="36" hidden="false" customHeight="true" outlineLevel="0" collapsed="false">
      <c r="B4" s="10" t="s">
        <v>103</v>
      </c>
      <c r="C4" s="10" t="s">
        <v>170</v>
      </c>
      <c r="D4" s="10" t="s">
        <v>171</v>
      </c>
      <c r="E4" s="10" t="s">
        <v>172</v>
      </c>
      <c r="F4" s="10" t="s">
        <v>173</v>
      </c>
      <c r="G4" s="10" t="s">
        <v>174</v>
      </c>
      <c r="H4" s="10" t="s">
        <v>175</v>
      </c>
      <c r="I4" s="10" t="s">
        <v>176</v>
      </c>
      <c r="J4" s="10" t="s">
        <v>177</v>
      </c>
      <c r="K4" s="10" t="s">
        <v>178</v>
      </c>
      <c r="L4" s="10" t="s">
        <v>101</v>
      </c>
      <c r="M4" s="10" t="s">
        <v>179</v>
      </c>
    </row>
    <row r="5" customFormat="false" ht="15" hidden="false" customHeight="false" outlineLevel="0" collapsed="false">
      <c r="B5" s="18" t="s">
        <v>180</v>
      </c>
      <c r="C5" s="11" t="s">
        <v>181</v>
      </c>
      <c r="D5" s="11" t="s">
        <v>182</v>
      </c>
      <c r="E5" s="30" t="n">
        <f aca="false">Chargers!N13</f>
        <v>94.9837059259552</v>
      </c>
      <c r="F5" s="24" t="n">
        <f aca="false">E5*1000/(SQRT(3)*Inputs!$C$11)</f>
        <v>132.141851048141</v>
      </c>
      <c r="G5" s="16" t="n">
        <f aca="false">IFERROR(INDEX(Ref_Tables!$L$5:$L$21,COUNTIF(Ref_Tables!$L$5:$L$21,"&lt;"&amp;F5)+1),"Exceeds table")</f>
        <v>160</v>
      </c>
      <c r="H5" s="16" t="n">
        <f aca="false">G5/(Inputs!$C$22*Inputs!$C$23)</f>
        <v>259.02541686903</v>
      </c>
      <c r="I5" s="16" t="n">
        <f aca="false">INDEX(Ref_Tables!$B$5:$B$14,MAX(COUNTIF(Ref_Tables!$C$5:$C$14,"&lt;"&amp;H5)+1,COUNTIF(Ref_Tables!$E$5:$E$14,"&gt;"&amp;(Inputs!$C$25*Inputs!$C$11*1000/(F5*Inputs!$C$26)))+1))</f>
        <v>120</v>
      </c>
      <c r="J5" s="16" t="n">
        <f aca="false">INDEX(Ref_Tables!$C$5:$C$14,MATCH(I5,Ref_Tables!$B$5:$B$14,0))*Inputs!$C$22*Inputs!$C$23</f>
        <v>162.4551</v>
      </c>
      <c r="K5" s="40" t="n">
        <f aca="false">INDEX(Ref_Tables!$E$5:$E$14,MATCH(I5,Ref_Tables!$B$5:$B$14,0))*F5*Inputs!$C$26/(1000*Inputs!$C$11)</f>
        <v>0.0073546044377201</v>
      </c>
      <c r="L5" s="36" t="str">
        <f aca="false">IF(AND(J5&gt;=G5,K5&lt;=Inputs!$C$25),"OK","CHECK")</f>
        <v>OK</v>
      </c>
      <c r="M5" s="32" t="str">
        <f aca="false">"1R x 3.5C x "&amp;I5&amp;" sq.mm Al XLPE armd, "&amp;Inputs!$C$26&amp;" m"</f>
        <v>1R x 3.5C x 120 sq.mm Al XLPE armd, 40 m</v>
      </c>
    </row>
    <row r="7" customFormat="false" ht="15" hidden="false" customHeight="false" outlineLevel="0" collapsed="false">
      <c r="B7" s="3" t="s">
        <v>183</v>
      </c>
    </row>
    <row r="8" customFormat="false" ht="36" hidden="false" customHeight="true" outlineLevel="0" collapsed="false">
      <c r="B8" s="10" t="s">
        <v>184</v>
      </c>
      <c r="C8" s="10" t="s">
        <v>104</v>
      </c>
      <c r="D8" s="10" t="s">
        <v>124</v>
      </c>
      <c r="E8" s="10" t="s">
        <v>173</v>
      </c>
      <c r="F8" s="10" t="s">
        <v>174</v>
      </c>
      <c r="G8" s="10" t="s">
        <v>185</v>
      </c>
      <c r="H8" s="10" t="s">
        <v>175</v>
      </c>
      <c r="I8" s="10" t="s">
        <v>186</v>
      </c>
      <c r="J8" s="10" t="s">
        <v>187</v>
      </c>
      <c r="K8" s="10" t="s">
        <v>178</v>
      </c>
      <c r="L8" s="10" t="s">
        <v>101</v>
      </c>
    </row>
    <row r="9" customFormat="false" ht="57.45" hidden="false" customHeight="false" outlineLevel="0" collapsed="false">
      <c r="B9" s="18" t="s">
        <v>188</v>
      </c>
      <c r="C9" s="11" t="s">
        <v>116</v>
      </c>
      <c r="D9" s="41" t="s">
        <v>130</v>
      </c>
      <c r="E9" s="30" t="n">
        <f aca="false">Chargers!L11</f>
        <v>31.7803889232461</v>
      </c>
      <c r="F9" s="16" t="n">
        <f aca="false">IFERROR(INDEX(Ref_Tables!$L$5:$L$21,COUNTIF(Ref_Tables!$L$5:$L$21,"&lt;"&amp;E9*1.25)+1),"Exceeds table")</f>
        <v>40</v>
      </c>
      <c r="G9" s="13" t="s">
        <v>189</v>
      </c>
      <c r="H9" s="24" t="n">
        <f aca="false">F9/(Inputs!$C$22*Inputs!$C$24)</f>
        <v>57.4712643678161</v>
      </c>
      <c r="I9" s="31" t="n">
        <f aca="false">IFERROR(INDEX(Ref_Tables!$G$5:$G$10,COUNTIF(Ref_Tables!$H$5:$H$10,"&lt;"&amp;H9)+1),"Too big")</f>
        <v>10</v>
      </c>
      <c r="J9" s="19" t="n">
        <v>25</v>
      </c>
      <c r="K9" s="40" t="n">
        <f aca="false">IF(ISNUMBER(I9),IF(Chargers!J11=1,2,SQRT(3))*INDEX(Ref_Tables!$J$5:$J$10,MATCH(I9,Ref_Tables!$G$5:$G$10,0))*E9*J9/(1000*Chargers!K11),0)</f>
        <v>0.0154494600554868</v>
      </c>
      <c r="L9" s="36" t="str">
        <f aca="false">IF(AND(ISNUMBER(I9),K9&lt;=Inputs!$C$25),"OK","CHECK")</f>
        <v>OK</v>
      </c>
    </row>
    <row r="10" customFormat="false" ht="57.45" hidden="false" customHeight="false" outlineLevel="0" collapsed="false">
      <c r="B10" s="18" t="s">
        <v>190</v>
      </c>
      <c r="C10" s="11" t="s">
        <v>116</v>
      </c>
      <c r="D10" s="41" t="s">
        <v>131</v>
      </c>
      <c r="E10" s="30" t="n">
        <f aca="false">Chargers!L11</f>
        <v>31.7803889232461</v>
      </c>
      <c r="F10" s="16" t="n">
        <f aca="false">IFERROR(INDEX(Ref_Tables!$L$5:$L$21,COUNTIF(Ref_Tables!$L$5:$L$21,"&lt;"&amp;E10*1.25)+1),"Exceeds table")</f>
        <v>40</v>
      </c>
      <c r="G10" s="13" t="s">
        <v>189</v>
      </c>
      <c r="H10" s="24" t="n">
        <f aca="false">F10/(Inputs!$C$22*Inputs!$C$24)</f>
        <v>57.4712643678161</v>
      </c>
      <c r="I10" s="31" t="n">
        <f aca="false">IFERROR(INDEX(Ref_Tables!$G$5:$G$10,COUNTIF(Ref_Tables!$H$5:$H$10,"&lt;"&amp;H10)+1),"Too big")</f>
        <v>10</v>
      </c>
      <c r="J10" s="19" t="n">
        <v>30</v>
      </c>
      <c r="K10" s="40" t="n">
        <f aca="false">IF(ISNUMBER(I10),IF(Chargers!J11=1,2,SQRT(3))*INDEX(Ref_Tables!$J$5:$J$10,MATCH(I10,Ref_Tables!$G$5:$G$10,0))*E10*J10/(1000*Chargers!K11),0)</f>
        <v>0.0185393520665842</v>
      </c>
      <c r="L10" s="36" t="str">
        <f aca="false">IF(AND(ISNUMBER(I10),K10&lt;=Inputs!$C$25),"OK","CHECK")</f>
        <v>OK</v>
      </c>
    </row>
    <row r="11" customFormat="false" ht="57.45" hidden="false" customHeight="false" outlineLevel="0" collapsed="false">
      <c r="B11" s="18" t="s">
        <v>191</v>
      </c>
      <c r="C11" s="11" t="s">
        <v>116</v>
      </c>
      <c r="D11" s="41" t="s">
        <v>132</v>
      </c>
      <c r="E11" s="30" t="n">
        <f aca="false">Chargers!L11</f>
        <v>31.7803889232461</v>
      </c>
      <c r="F11" s="16" t="n">
        <f aca="false">IFERROR(INDEX(Ref_Tables!$L$5:$L$21,COUNTIF(Ref_Tables!$L$5:$L$21,"&lt;"&amp;E11*1.25)+1),"Exceeds table")</f>
        <v>40</v>
      </c>
      <c r="G11" s="13" t="s">
        <v>189</v>
      </c>
      <c r="H11" s="24" t="n">
        <f aca="false">F11/(Inputs!$C$22*Inputs!$C$24)</f>
        <v>57.4712643678161</v>
      </c>
      <c r="I11" s="31" t="n">
        <f aca="false">IFERROR(INDEX(Ref_Tables!$G$5:$G$10,COUNTIF(Ref_Tables!$H$5:$H$10,"&lt;"&amp;H11)+1),"Too big")</f>
        <v>10</v>
      </c>
      <c r="J11" s="19" t="n">
        <v>35</v>
      </c>
      <c r="K11" s="40" t="n">
        <f aca="false">IF(ISNUMBER(I11),IF(Chargers!J11=1,2,SQRT(3))*INDEX(Ref_Tables!$J$5:$J$10,MATCH(I11,Ref_Tables!$G$5:$G$10,0))*E11*J11/(1000*Chargers!K11),0)</f>
        <v>0.0216292440776816</v>
      </c>
      <c r="L11" s="36" t="str">
        <f aca="false">IF(AND(ISNUMBER(I11),K11&lt;=Inputs!$C$25),"OK","CHECK")</f>
        <v>OK</v>
      </c>
    </row>
    <row r="12" customFormat="false" ht="57.45" hidden="false" customHeight="false" outlineLevel="0" collapsed="false">
      <c r="B12" s="18" t="s">
        <v>192</v>
      </c>
      <c r="C12" s="11" t="s">
        <v>116</v>
      </c>
      <c r="D12" s="41" t="s">
        <v>130</v>
      </c>
      <c r="E12" s="30" t="n">
        <f aca="false">Chargers!L11</f>
        <v>31.7803889232461</v>
      </c>
      <c r="F12" s="16" t="n">
        <f aca="false">IFERROR(INDEX(Ref_Tables!$L$5:$L$21,COUNTIF(Ref_Tables!$L$5:$L$21,"&lt;"&amp;E12*1.25)+1),"Exceeds table")</f>
        <v>40</v>
      </c>
      <c r="G12" s="13" t="s">
        <v>189</v>
      </c>
      <c r="H12" s="24" t="n">
        <f aca="false">F12/(Inputs!$C$22*Inputs!$C$24)</f>
        <v>57.4712643678161</v>
      </c>
      <c r="I12" s="31" t="n">
        <f aca="false">IFERROR(INDEX(Ref_Tables!$G$5:$G$10,COUNTIF(Ref_Tables!$H$5:$H$10,"&lt;"&amp;H12)+1),"Too big")</f>
        <v>10</v>
      </c>
      <c r="J12" s="19" t="n">
        <v>40</v>
      </c>
      <c r="K12" s="40" t="n">
        <f aca="false">IF(ISNUMBER(I12),IF(Chargers!J11=1,2,SQRT(3))*INDEX(Ref_Tables!$J$5:$J$10,MATCH(I12,Ref_Tables!$G$5:$G$10,0))*E12*J12/(1000*Chargers!K11),0)</f>
        <v>0.024719136088779</v>
      </c>
      <c r="L12" s="36" t="str">
        <f aca="false">IF(AND(ISNUMBER(I12),K12&lt;=Inputs!$C$25),"OK","CHECK")</f>
        <v>OK</v>
      </c>
    </row>
    <row r="13" customFormat="false" ht="57.45" hidden="false" customHeight="false" outlineLevel="0" collapsed="false">
      <c r="B13" s="18" t="s">
        <v>193</v>
      </c>
      <c r="C13" s="11" t="s">
        <v>119</v>
      </c>
      <c r="D13" s="41" t="s">
        <v>194</v>
      </c>
      <c r="E13" s="30" t="n">
        <f aca="false">Chargers!L12</f>
        <v>44.8486611194974</v>
      </c>
      <c r="F13" s="16" t="n">
        <f aca="false">IFERROR(INDEX(Ref_Tables!$L$5:$L$21,COUNTIF(Ref_Tables!$L$5:$L$21,"&lt;"&amp;E13*1.25)+1),"Exceeds table")</f>
        <v>63</v>
      </c>
      <c r="G13" s="13" t="s">
        <v>195</v>
      </c>
      <c r="H13" s="24" t="n">
        <f aca="false">F13/(Inputs!$C$22*Inputs!$C$24)</f>
        <v>90.5172413793103</v>
      </c>
      <c r="I13" s="31" t="n">
        <f aca="false">IFERROR(INDEX(Ref_Tables!$G$5:$G$10,COUNTIF(Ref_Tables!$H$5:$H$10,"&lt;"&amp;H13)+1),"Too big")</f>
        <v>25</v>
      </c>
      <c r="J13" s="19" t="n">
        <v>20</v>
      </c>
      <c r="K13" s="40" t="n">
        <f aca="false">IF(ISNUMBER(I13),IF(Chargers!J12=1,2,SQRT(3))*INDEX(Ref_Tables!$J$5:$J$10,MATCH(I13,Ref_Tables!$G$5:$G$10,0))*E13*J13/(1000*Chargers!K12),0)</f>
        <v>0.00347032912709307</v>
      </c>
      <c r="L13" s="36" t="str">
        <f aca="false">IF(AND(ISNUMBER(I13),K13&lt;=Inputs!$C$25),"OK","CHECK")</f>
        <v>OK</v>
      </c>
    </row>
    <row r="14" customFormat="false" ht="57.45" hidden="false" customHeight="false" outlineLevel="0" collapsed="false">
      <c r="B14" s="18" t="s">
        <v>196</v>
      </c>
      <c r="C14" s="11" t="s">
        <v>119</v>
      </c>
      <c r="D14" s="41" t="s">
        <v>194</v>
      </c>
      <c r="E14" s="30" t="n">
        <f aca="false">Chargers!L12</f>
        <v>44.8486611194974</v>
      </c>
      <c r="F14" s="16" t="n">
        <f aca="false">IFERROR(INDEX(Ref_Tables!$L$5:$L$21,COUNTIF(Ref_Tables!$L$5:$L$21,"&lt;"&amp;E14*1.25)+1),"Exceeds table")</f>
        <v>63</v>
      </c>
      <c r="G14" s="13" t="s">
        <v>195</v>
      </c>
      <c r="H14" s="24" t="n">
        <f aca="false">F14/(Inputs!$C$22*Inputs!$C$24)</f>
        <v>90.5172413793103</v>
      </c>
      <c r="I14" s="31" t="n">
        <f aca="false">IFERROR(INDEX(Ref_Tables!$G$5:$G$10,COUNTIF(Ref_Tables!$H$5:$H$10,"&lt;"&amp;H14)+1),"Too big")</f>
        <v>25</v>
      </c>
      <c r="J14" s="19" t="n">
        <v>25</v>
      </c>
      <c r="K14" s="40" t="n">
        <f aca="false">IF(ISNUMBER(I14),IF(Chargers!J12=1,2,SQRT(3))*INDEX(Ref_Tables!$J$5:$J$10,MATCH(I14,Ref_Tables!$G$5:$G$10,0))*E14*J14/(1000*Chargers!K12),0)</f>
        <v>0.00433791140886634</v>
      </c>
      <c r="L14" s="36" t="str">
        <f aca="false">IF(AND(ISNUMBER(I14),K14&lt;=Inputs!$C$25),"OK","CHECK")</f>
        <v>OK</v>
      </c>
    </row>
    <row r="16" customFormat="false" ht="15" hidden="false" customHeight="false" outlineLevel="0" collapsed="false">
      <c r="B16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46"/>
  </cols>
  <sheetData>
    <row r="1" customFormat="false" ht="17.35" hidden="false" customHeight="false" outlineLevel="0" collapsed="false">
      <c r="B1" s="1" t="s">
        <v>198</v>
      </c>
    </row>
    <row r="2" customFormat="false" ht="15" hidden="false" customHeight="false" outlineLevel="0" collapsed="false">
      <c r="B2" s="2" t="s">
        <v>199</v>
      </c>
    </row>
    <row r="4" customFormat="false" ht="15" hidden="false" customHeight="false" outlineLevel="0" collapsed="false">
      <c r="B4" s="3" t="s">
        <v>200</v>
      </c>
    </row>
    <row r="5" customFormat="false" ht="18" hidden="false" customHeight="true" outlineLevel="0" collapsed="false">
      <c r="B5" s="10" t="s">
        <v>96</v>
      </c>
      <c r="C5" s="10" t="s">
        <v>201</v>
      </c>
      <c r="D5" s="10" t="s">
        <v>202</v>
      </c>
      <c r="E5" s="10" t="s">
        <v>203</v>
      </c>
    </row>
    <row r="6" customFormat="false" ht="23.85" hidden="false" customHeight="false" outlineLevel="0" collapsed="false">
      <c r="B6" s="11" t="s">
        <v>204</v>
      </c>
      <c r="C6" s="14" t="n">
        <v>4.5</v>
      </c>
      <c r="D6" s="14" t="n">
        <v>4.5</v>
      </c>
      <c r="E6" s="13" t="s">
        <v>205</v>
      </c>
    </row>
    <row r="7" customFormat="false" ht="15" hidden="false" customHeight="false" outlineLevel="0" collapsed="false">
      <c r="B7" s="11" t="s">
        <v>206</v>
      </c>
      <c r="C7" s="14" t="n">
        <v>0.7</v>
      </c>
      <c r="D7" s="14" t="n">
        <v>0.7</v>
      </c>
      <c r="E7" s="13" t="s">
        <v>207</v>
      </c>
    </row>
    <row r="8" customFormat="false" ht="15" hidden="false" customHeight="false" outlineLevel="0" collapsed="false">
      <c r="B8" s="11" t="s">
        <v>208</v>
      </c>
      <c r="C8" s="14" t="n">
        <v>1.3</v>
      </c>
      <c r="D8" s="14" t="n">
        <v>1.3</v>
      </c>
      <c r="E8" s="13" t="s">
        <v>209</v>
      </c>
    </row>
    <row r="9" customFormat="false" ht="15" hidden="false" customHeight="false" outlineLevel="0" collapsed="false">
      <c r="B9" s="11" t="s">
        <v>210</v>
      </c>
      <c r="C9" s="19" t="n">
        <v>3</v>
      </c>
      <c r="D9" s="19" t="n">
        <v>11</v>
      </c>
      <c r="E9" s="13" t="s">
        <v>211</v>
      </c>
    </row>
    <row r="10" customFormat="false" ht="15" hidden="false" customHeight="false" outlineLevel="0" collapsed="false">
      <c r="B10" s="11" t="s">
        <v>212</v>
      </c>
      <c r="C10" s="19" t="n">
        <v>4</v>
      </c>
      <c r="D10" s="19" t="n">
        <v>13</v>
      </c>
      <c r="E10" s="13" t="s">
        <v>213</v>
      </c>
    </row>
    <row r="11" customFormat="false" ht="15" hidden="false" customHeight="false" outlineLevel="0" collapsed="false">
      <c r="B11" s="11" t="s">
        <v>214</v>
      </c>
      <c r="C11" s="15" t="n">
        <v>0.18</v>
      </c>
      <c r="D11" s="15" t="n">
        <v>0.18</v>
      </c>
      <c r="E11" s="13" t="s">
        <v>215</v>
      </c>
    </row>
    <row r="12" customFormat="false" ht="15" hidden="false" customHeight="false" outlineLevel="0" collapsed="false">
      <c r="B12" s="11" t="s">
        <v>216</v>
      </c>
      <c r="C12" s="22" t="n">
        <f aca="false">Chargers!G11</f>
        <v>0.98</v>
      </c>
      <c r="D12" s="22" t="n">
        <f aca="false">Chargers!G12</f>
        <v>0.94</v>
      </c>
      <c r="E12" s="13" t="s">
        <v>217</v>
      </c>
    </row>
    <row r="13" customFormat="false" ht="35.05" hidden="false" customHeight="false" outlineLevel="0" collapsed="false">
      <c r="B13" s="11" t="s">
        <v>218</v>
      </c>
      <c r="C13" s="15" t="n">
        <v>0.6</v>
      </c>
      <c r="D13" s="15" t="n">
        <v>0.4</v>
      </c>
      <c r="E13" s="13" t="s">
        <v>219</v>
      </c>
    </row>
    <row r="14" customFormat="false" ht="15" hidden="false" customHeight="false" outlineLevel="0" collapsed="false">
      <c r="B14" s="11" t="s">
        <v>220</v>
      </c>
      <c r="C14" s="19" t="n">
        <v>6</v>
      </c>
      <c r="D14" s="19" t="n">
        <v>6</v>
      </c>
      <c r="E14" s="13" t="s">
        <v>221</v>
      </c>
    </row>
    <row r="15" customFormat="false" ht="15" hidden="false" customHeight="false" outlineLevel="0" collapsed="false">
      <c r="B15" s="11" t="s">
        <v>222</v>
      </c>
      <c r="C15" s="19" t="n">
        <v>20</v>
      </c>
      <c r="D15" s="19" t="n">
        <v>20</v>
      </c>
      <c r="E15" s="13" t="s">
        <v>223</v>
      </c>
    </row>
    <row r="16" customFormat="false" ht="15" hidden="false" customHeight="false" outlineLevel="0" collapsed="false">
      <c r="B16" s="11" t="s">
        <v>224</v>
      </c>
      <c r="C16" s="19" t="n">
        <v>300</v>
      </c>
      <c r="D16" s="19" t="n">
        <v>300</v>
      </c>
      <c r="E16" s="13" t="s">
        <v>225</v>
      </c>
    </row>
    <row r="17" customFormat="false" ht="23.85" hidden="false" customHeight="false" outlineLevel="0" collapsed="false">
      <c r="B17" s="11" t="s">
        <v>226</v>
      </c>
      <c r="C17" s="19" t="n">
        <v>0</v>
      </c>
      <c r="D17" s="19" t="n">
        <v>5</v>
      </c>
      <c r="E17" s="13" t="s">
        <v>227</v>
      </c>
    </row>
    <row r="19" customFormat="false" ht="15" hidden="false" customHeight="false" outlineLevel="0" collapsed="false">
      <c r="B19" s="3" t="s">
        <v>228</v>
      </c>
    </row>
    <row r="20" customFormat="false" ht="18" hidden="false" customHeight="true" outlineLevel="0" collapsed="false">
      <c r="B20" s="10" t="s">
        <v>96</v>
      </c>
      <c r="C20" s="10" t="s">
        <v>201</v>
      </c>
      <c r="D20" s="10" t="s">
        <v>202</v>
      </c>
      <c r="E20" s="10" t="s">
        <v>26</v>
      </c>
    </row>
    <row r="21" customFormat="false" ht="15" hidden="false" customHeight="false" outlineLevel="0" collapsed="false">
      <c r="B21" s="11" t="s">
        <v>229</v>
      </c>
      <c r="C21" s="21" t="n">
        <f aca="false">C6*C7/C12</f>
        <v>3.21428571428571</v>
      </c>
      <c r="D21" s="21" t="n">
        <f aca="false">D6*D7/D12</f>
        <v>3.35106382978723</v>
      </c>
      <c r="E21" s="11" t="s">
        <v>230</v>
      </c>
    </row>
    <row r="22" customFormat="false" ht="15" hidden="false" customHeight="false" outlineLevel="0" collapsed="false">
      <c r="B22" s="11" t="s">
        <v>231</v>
      </c>
      <c r="C22" s="21" t="n">
        <f aca="false">C6*C8/C12</f>
        <v>5.96938775510204</v>
      </c>
      <c r="D22" s="21" t="n">
        <f aca="false">D6*D8/D12</f>
        <v>6.22340425531915</v>
      </c>
      <c r="E22" s="11"/>
    </row>
    <row r="23" customFormat="false" ht="15" hidden="false" customHeight="false" outlineLevel="0" collapsed="false">
      <c r="B23" s="18" t="s">
        <v>232</v>
      </c>
      <c r="C23" s="42" t="n">
        <f aca="false">(C21+C9)*(1+C11)</f>
        <v>7.33285714285714</v>
      </c>
      <c r="D23" s="42" t="n">
        <f aca="false">(D21+D9)*(1+D11)</f>
        <v>16.9342553191489</v>
      </c>
      <c r="E23" s="11" t="s">
        <v>233</v>
      </c>
    </row>
    <row r="24" customFormat="false" ht="15" hidden="false" customHeight="false" outlineLevel="0" collapsed="false">
      <c r="B24" s="18" t="s">
        <v>234</v>
      </c>
      <c r="C24" s="42" t="n">
        <f aca="false">(C22+C10)*(1+C11)</f>
        <v>11.7638775510204</v>
      </c>
      <c r="D24" s="42" t="n">
        <f aca="false">(D22+D10)*(1+D11)</f>
        <v>22.6836170212766</v>
      </c>
      <c r="E24" s="11"/>
    </row>
    <row r="25" customFormat="false" ht="15" hidden="false" customHeight="false" outlineLevel="0" collapsed="false">
      <c r="B25" s="18" t="s">
        <v>235</v>
      </c>
      <c r="C25" s="42" t="n">
        <f aca="false">C13*C23+(1-C13)*C24</f>
        <v>9.10526530612245</v>
      </c>
      <c r="D25" s="42" t="n">
        <f aca="false">D13*D23+(1-D13)*D24</f>
        <v>20.3838723404255</v>
      </c>
      <c r="E25" s="11" t="s">
        <v>236</v>
      </c>
    </row>
    <row r="26" customFormat="false" ht="15" hidden="false" customHeight="false" outlineLevel="0" collapsed="false">
      <c r="B26" s="11" t="s">
        <v>237</v>
      </c>
      <c r="C26" s="16" t="n">
        <f aca="false">C23*C15</f>
        <v>146.657142857143</v>
      </c>
      <c r="D26" s="16" t="n">
        <f aca="false">D23*D15</f>
        <v>338.685106382979</v>
      </c>
      <c r="E26" s="11" t="s">
        <v>238</v>
      </c>
    </row>
    <row r="27" customFormat="false" ht="15" hidden="false" customHeight="false" outlineLevel="0" collapsed="false">
      <c r="B27" s="11" t="s">
        <v>239</v>
      </c>
      <c r="C27" s="16" t="n">
        <f aca="false">C24*C15</f>
        <v>235.277551020408</v>
      </c>
      <c r="D27" s="16" t="n">
        <f aca="false">D24*D15</f>
        <v>453.672340425532</v>
      </c>
      <c r="E27" s="11" t="s">
        <v>238</v>
      </c>
    </row>
    <row r="28" customFormat="false" ht="15" hidden="false" customHeight="false" outlineLevel="0" collapsed="false">
      <c r="B28" s="11" t="s">
        <v>240</v>
      </c>
      <c r="C28" s="24" t="n">
        <f aca="false">C15/Chargers!F11</f>
        <v>2.7027027027027</v>
      </c>
      <c r="D28" s="24" t="n">
        <f aca="false">D15/Chargers!F12</f>
        <v>0.666666666666667</v>
      </c>
      <c r="E28" s="11" t="s">
        <v>241</v>
      </c>
    </row>
    <row r="29" customFormat="false" ht="15" hidden="false" customHeight="false" outlineLevel="0" collapsed="false">
      <c r="B29" s="18" t="s">
        <v>242</v>
      </c>
      <c r="C29" s="33"/>
      <c r="D29" s="43" t="n">
        <f aca="false">D25/C25-1</f>
        <v>1.23869065371651</v>
      </c>
      <c r="E29" s="11" t="s">
        <v>243</v>
      </c>
    </row>
    <row r="31" customFormat="false" ht="15" hidden="false" customHeight="false" outlineLevel="0" collapsed="false">
      <c r="B31" s="3" t="s">
        <v>244</v>
      </c>
    </row>
    <row r="32" customFormat="false" ht="18" hidden="false" customHeight="true" outlineLevel="0" collapsed="false">
      <c r="B32" s="10" t="s">
        <v>96</v>
      </c>
      <c r="C32" s="10" t="s">
        <v>201</v>
      </c>
      <c r="D32" s="10" t="s">
        <v>202</v>
      </c>
      <c r="E32" s="10" t="s">
        <v>245</v>
      </c>
    </row>
    <row r="33" customFormat="false" ht="15" hidden="false" customHeight="false" outlineLevel="0" collapsed="false">
      <c r="B33" s="11" t="s">
        <v>246</v>
      </c>
      <c r="C33" s="23" t="n">
        <f aca="false">Chargers!E11</f>
        <v>4</v>
      </c>
      <c r="D33" s="23" t="n">
        <f aca="false">Chargers!E12</f>
        <v>2</v>
      </c>
      <c r="E33" s="13"/>
    </row>
    <row r="34" customFormat="false" ht="15" hidden="false" customHeight="false" outlineLevel="0" collapsed="false">
      <c r="B34" s="11" t="s">
        <v>247</v>
      </c>
      <c r="C34" s="44" t="n">
        <f aca="false">C14*C15*C16</f>
        <v>36000</v>
      </c>
      <c r="D34" s="44" t="n">
        <f aca="false">D14*D15*D16</f>
        <v>36000</v>
      </c>
      <c r="E34" s="13" t="s">
        <v>248</v>
      </c>
    </row>
    <row r="35" customFormat="false" ht="15" hidden="false" customHeight="false" outlineLevel="0" collapsed="false">
      <c r="B35" s="11" t="s">
        <v>249</v>
      </c>
      <c r="C35" s="44" t="n">
        <f aca="false">C34*(C13*C9+(1-C13)*C10)</f>
        <v>122400</v>
      </c>
      <c r="D35" s="44" t="n">
        <f aca="false">D34*(D13*D9+(1-D13)*D10)</f>
        <v>439200</v>
      </c>
      <c r="E35" s="13" t="s">
        <v>250</v>
      </c>
    </row>
    <row r="36" customFormat="false" ht="23.85" hidden="false" customHeight="false" outlineLevel="0" collapsed="false">
      <c r="B36" s="11" t="s">
        <v>251</v>
      </c>
      <c r="C36" s="45" t="n">
        <v>70000</v>
      </c>
      <c r="D36" s="45" t="n">
        <v>700000</v>
      </c>
      <c r="E36" s="13" t="s">
        <v>252</v>
      </c>
    </row>
    <row r="37" customFormat="false" ht="15" hidden="false" customHeight="false" outlineLevel="0" collapsed="false">
      <c r="B37" s="11" t="s">
        <v>253</v>
      </c>
      <c r="C37" s="45" t="n">
        <v>100000</v>
      </c>
      <c r="D37" s="45" t="n">
        <v>200000</v>
      </c>
      <c r="E37" s="13" t="s">
        <v>254</v>
      </c>
    </row>
    <row r="38" customFormat="false" ht="15" hidden="false" customHeight="false" outlineLevel="0" collapsed="false">
      <c r="B38" s="11" t="s">
        <v>255</v>
      </c>
      <c r="C38" s="44" t="n">
        <f aca="false">C33*C36+C37</f>
        <v>380000</v>
      </c>
      <c r="D38" s="44" t="n">
        <f aca="false">D33*D36+D37</f>
        <v>1600000</v>
      </c>
      <c r="E38" s="13"/>
    </row>
    <row r="39" customFormat="false" ht="15" hidden="false" customHeight="false" outlineLevel="0" collapsed="false">
      <c r="B39" s="11" t="s">
        <v>256</v>
      </c>
      <c r="C39" s="15" t="n">
        <v>0.04</v>
      </c>
      <c r="D39" s="15" t="n">
        <v>0.04</v>
      </c>
      <c r="E39" s="13" t="s">
        <v>225</v>
      </c>
    </row>
    <row r="40" customFormat="false" ht="15" hidden="false" customHeight="false" outlineLevel="0" collapsed="false">
      <c r="B40" s="11" t="s">
        <v>257</v>
      </c>
      <c r="C40" s="45" t="n">
        <v>500</v>
      </c>
      <c r="D40" s="45" t="n">
        <v>500</v>
      </c>
      <c r="E40" s="13" t="s">
        <v>258</v>
      </c>
    </row>
    <row r="41" customFormat="false" ht="15" hidden="false" customHeight="false" outlineLevel="0" collapsed="false">
      <c r="B41" s="11" t="s">
        <v>259</v>
      </c>
      <c r="C41" s="44" t="n">
        <f aca="false">C38*C39+C33*C40*12</f>
        <v>39200</v>
      </c>
      <c r="D41" s="44" t="n">
        <f aca="false">D38*D39+D33*D40*12</f>
        <v>76000</v>
      </c>
      <c r="E41" s="13"/>
    </row>
    <row r="42" customFormat="false" ht="15" hidden="false" customHeight="false" outlineLevel="0" collapsed="false">
      <c r="B42" s="18" t="s">
        <v>260</v>
      </c>
      <c r="C42" s="46" t="n">
        <f aca="false">C35-C41</f>
        <v>83200</v>
      </c>
      <c r="D42" s="46" t="n">
        <f aca="false">D35-D41</f>
        <v>363200</v>
      </c>
      <c r="E42" s="13"/>
    </row>
    <row r="43" customFormat="false" ht="15" hidden="false" customHeight="false" outlineLevel="0" collapsed="false">
      <c r="B43" s="18" t="s">
        <v>261</v>
      </c>
      <c r="C43" s="35" t="n">
        <f aca="false">IF(C42&gt;0,C38/C42,"No payback")</f>
        <v>4.56730769230769</v>
      </c>
      <c r="D43" s="35" t="n">
        <f aca="false">IF(D42&gt;0,D38/D42,"No payback")</f>
        <v>4.40528634361233</v>
      </c>
      <c r="E43" s="13" t="s">
        <v>262</v>
      </c>
    </row>
    <row r="44" customFormat="false" ht="15" hidden="false" customHeight="false" outlineLevel="0" collapsed="false">
      <c r="B44" s="18" t="s">
        <v>263</v>
      </c>
      <c r="C44" s="47" t="n">
        <f aca="false">(C38+D38)/(C42+D42)</f>
        <v>4.43548387096774</v>
      </c>
      <c r="E44" s="11" t="s">
        <v>264</v>
      </c>
    </row>
    <row r="46" customFormat="false" ht="15" hidden="false" customHeight="false" outlineLevel="0" collapsed="false">
      <c r="B46" s="3" t="s">
        <v>265</v>
      </c>
    </row>
    <row r="47" customFormat="false" ht="15" hidden="false" customHeight="false" outlineLevel="0" collapsed="false">
      <c r="B47" s="6" t="s">
        <v>266</v>
      </c>
    </row>
    <row r="48" customFormat="false" ht="15" hidden="false" customHeight="false" outlineLevel="0" collapsed="false">
      <c r="B48" s="6" t="s">
        <v>267</v>
      </c>
    </row>
    <row r="49" customFormat="false" ht="15" hidden="false" customHeight="false" outlineLevel="0" collapsed="false">
      <c r="B49" s="6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3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3"/>
    <col collapsed="false" customWidth="true" hidden="false" outlineLevel="0" max="12" min="12" style="0" width="12"/>
    <col collapsed="false" customWidth="true" hidden="false" outlineLevel="0" max="13" min="13" style="0" width="3"/>
    <col collapsed="false" customWidth="true" hidden="false" outlineLevel="0" max="14" min="14" style="0" width="12"/>
  </cols>
  <sheetData>
    <row r="2" customFormat="false" ht="17.35" hidden="false" customHeight="false" outlineLevel="0" collapsed="false">
      <c r="B2" s="1" t="s">
        <v>269</v>
      </c>
    </row>
    <row r="3" customFormat="false" ht="15" hidden="false" customHeight="false" outlineLevel="0" collapsed="false">
      <c r="B3" s="2" t="s">
        <v>270</v>
      </c>
      <c r="G3" s="2" t="s">
        <v>271</v>
      </c>
    </row>
    <row r="4" customFormat="false" ht="36" hidden="false" customHeight="true" outlineLevel="0" collapsed="false">
      <c r="B4" s="10" t="s">
        <v>176</v>
      </c>
      <c r="C4" s="10" t="s">
        <v>272</v>
      </c>
      <c r="D4" s="10" t="s">
        <v>273</v>
      </c>
      <c r="E4" s="10" t="s">
        <v>274</v>
      </c>
      <c r="G4" s="10" t="s">
        <v>176</v>
      </c>
      <c r="H4" s="10" t="s">
        <v>272</v>
      </c>
      <c r="I4" s="10" t="s">
        <v>273</v>
      </c>
      <c r="J4" s="10" t="s">
        <v>275</v>
      </c>
      <c r="L4" s="10" t="s">
        <v>174</v>
      </c>
      <c r="N4" s="10" t="s">
        <v>276</v>
      </c>
    </row>
    <row r="5" customFormat="false" ht="15" hidden="false" customHeight="false" outlineLevel="0" collapsed="false">
      <c r="B5" s="48" t="n">
        <v>16</v>
      </c>
      <c r="C5" s="48" t="n">
        <v>77</v>
      </c>
      <c r="D5" s="49" t="n">
        <v>1.91</v>
      </c>
      <c r="E5" s="21" t="n">
        <f aca="false">SQRT(3)*SQRT((D5*(1+0.00403*70))^2+0.077^2)</f>
        <v>4.24356135117227</v>
      </c>
      <c r="G5" s="48" t="n">
        <v>4</v>
      </c>
      <c r="H5" s="48" t="n">
        <v>39</v>
      </c>
      <c r="I5" s="49" t="n">
        <v>4.61</v>
      </c>
      <c r="J5" s="50" t="n">
        <f aca="false">I5*(1+0.00393*70)</f>
        <v>5.878211</v>
      </c>
      <c r="L5" s="48" t="n">
        <v>16</v>
      </c>
      <c r="N5" s="48" t="n">
        <v>100</v>
      </c>
    </row>
    <row r="6" customFormat="false" ht="15" hidden="false" customHeight="false" outlineLevel="0" collapsed="false">
      <c r="B6" s="48" t="n">
        <v>25</v>
      </c>
      <c r="C6" s="48" t="n">
        <v>97</v>
      </c>
      <c r="D6" s="49" t="n">
        <v>1.2</v>
      </c>
      <c r="E6" s="21" t="n">
        <f aca="false">SQRT(3)*SQRT((D6*(1+0.00403*70))^2+0.077^2)</f>
        <v>2.66813012636191</v>
      </c>
      <c r="G6" s="48" t="n">
        <v>6</v>
      </c>
      <c r="H6" s="48" t="n">
        <v>49</v>
      </c>
      <c r="I6" s="49" t="n">
        <v>3.08</v>
      </c>
      <c r="J6" s="50" t="n">
        <f aca="false">I6*(1+0.00393*70)</f>
        <v>3.927308</v>
      </c>
      <c r="L6" s="48" t="n">
        <v>20</v>
      </c>
      <c r="N6" s="48" t="n">
        <v>160</v>
      </c>
    </row>
    <row r="7" customFormat="false" ht="15" hidden="false" customHeight="false" outlineLevel="0" collapsed="false">
      <c r="B7" s="48" t="n">
        <v>35</v>
      </c>
      <c r="C7" s="48" t="n">
        <v>120</v>
      </c>
      <c r="D7" s="49" t="n">
        <v>0.868</v>
      </c>
      <c r="E7" s="21" t="n">
        <f aca="false">SQRT(3)*SQRT((D7*(1+0.00403*70))^2+0.077^2)</f>
        <v>1.93214332668969</v>
      </c>
      <c r="G7" s="48" t="n">
        <v>10</v>
      </c>
      <c r="H7" s="48" t="n">
        <v>65</v>
      </c>
      <c r="I7" s="49" t="n">
        <v>1.83</v>
      </c>
      <c r="J7" s="50" t="n">
        <f aca="false">I7*(1+0.00393*70)</f>
        <v>2.333433</v>
      </c>
      <c r="L7" s="48" t="n">
        <v>25</v>
      </c>
      <c r="N7" s="48" t="n">
        <v>200</v>
      </c>
    </row>
    <row r="8" customFormat="false" ht="15" hidden="false" customHeight="false" outlineLevel="0" collapsed="false">
      <c r="B8" s="48" t="n">
        <v>50</v>
      </c>
      <c r="C8" s="48" t="n">
        <v>146</v>
      </c>
      <c r="D8" s="49" t="n">
        <v>0.641</v>
      </c>
      <c r="E8" s="21" t="n">
        <f aca="false">SQRT(3)*SQRT((D8*(1+0.00403*70))^2+0.077^2)</f>
        <v>1.42967878067894</v>
      </c>
      <c r="G8" s="48" t="n">
        <v>16</v>
      </c>
      <c r="H8" s="48" t="n">
        <v>84</v>
      </c>
      <c r="I8" s="49" t="n">
        <v>1.15</v>
      </c>
      <c r="J8" s="50" t="n">
        <f aca="false">I8*(1+0.00393*70)</f>
        <v>1.466365</v>
      </c>
      <c r="L8" s="48" t="n">
        <v>32</v>
      </c>
      <c r="N8" s="48" t="n">
        <v>250</v>
      </c>
    </row>
    <row r="9" customFormat="false" ht="15" hidden="false" customHeight="false" outlineLevel="0" collapsed="false">
      <c r="B9" s="48" t="n">
        <v>70</v>
      </c>
      <c r="C9" s="48" t="n">
        <v>187</v>
      </c>
      <c r="D9" s="49" t="n">
        <v>0.443</v>
      </c>
      <c r="E9" s="21" t="n">
        <f aca="false">SQRT(3)*SQRT((D9*(1+0.00403*70))^2+0.077^2)</f>
        <v>0.992752630339638</v>
      </c>
      <c r="G9" s="48" t="n">
        <v>25</v>
      </c>
      <c r="H9" s="48" t="n">
        <v>107</v>
      </c>
      <c r="I9" s="49" t="n">
        <v>0.727</v>
      </c>
      <c r="J9" s="50" t="n">
        <f aca="false">I9*(1+0.00393*70)</f>
        <v>0.9269977</v>
      </c>
      <c r="L9" s="48" t="n">
        <v>40</v>
      </c>
      <c r="N9" s="48" t="n">
        <v>315</v>
      </c>
    </row>
    <row r="10" customFormat="false" ht="15" hidden="false" customHeight="false" outlineLevel="0" collapsed="false">
      <c r="B10" s="48" t="n">
        <v>95</v>
      </c>
      <c r="C10" s="48" t="n">
        <v>227</v>
      </c>
      <c r="D10" s="49" t="n">
        <v>0.32</v>
      </c>
      <c r="E10" s="21" t="n">
        <f aca="false">SQRT(3)*SQRT((D10*(1+0.00403*70))^2+0.077^2)</f>
        <v>0.723018908433244</v>
      </c>
      <c r="G10" s="48" t="n">
        <v>35</v>
      </c>
      <c r="H10" s="48" t="n">
        <v>129</v>
      </c>
      <c r="I10" s="49" t="n">
        <v>0.524</v>
      </c>
      <c r="J10" s="50" t="n">
        <f aca="false">I10*(1+0.00393*70)</f>
        <v>0.6681524</v>
      </c>
      <c r="L10" s="48" t="n">
        <v>50</v>
      </c>
      <c r="N10" s="48" t="n">
        <v>400</v>
      </c>
    </row>
    <row r="11" customFormat="false" ht="15" hidden="false" customHeight="false" outlineLevel="0" collapsed="false">
      <c r="B11" s="48" t="n">
        <v>120</v>
      </c>
      <c r="C11" s="48" t="n">
        <v>263</v>
      </c>
      <c r="D11" s="49" t="n">
        <v>0.253</v>
      </c>
      <c r="E11" s="21" t="n">
        <f aca="false">SQRT(3)*SQRT((D11*(1+0.00403*70))^2+0.077^2)</f>
        <v>0.577440231358251</v>
      </c>
      <c r="L11" s="48" t="n">
        <v>63</v>
      </c>
      <c r="N11" s="48" t="n">
        <v>500</v>
      </c>
    </row>
    <row r="12" customFormat="false" ht="15" hidden="false" customHeight="false" outlineLevel="0" collapsed="false">
      <c r="B12" s="48" t="n">
        <v>150</v>
      </c>
      <c r="C12" s="48" t="n">
        <v>304</v>
      </c>
      <c r="D12" s="49" t="n">
        <v>0.206</v>
      </c>
      <c r="E12" s="21" t="n">
        <f aca="false">SQRT(3)*SQRT((D12*(1+0.00403*70))^2+0.077^2)</f>
        <v>0.476501202974641</v>
      </c>
      <c r="L12" s="48" t="n">
        <v>80</v>
      </c>
      <c r="N12" s="48" t="n">
        <v>630</v>
      </c>
    </row>
    <row r="13" customFormat="false" ht="15" hidden="false" customHeight="false" outlineLevel="0" collapsed="false">
      <c r="B13" s="48" t="n">
        <v>185</v>
      </c>
      <c r="C13" s="48" t="n">
        <v>347</v>
      </c>
      <c r="D13" s="49" t="n">
        <v>0.164</v>
      </c>
      <c r="E13" s="21" t="n">
        <f aca="false">SQRT(3)*SQRT((D13*(1+0.00403*70))^2+0.077^2)</f>
        <v>0.387840629282287</v>
      </c>
      <c r="L13" s="48" t="n">
        <v>100</v>
      </c>
      <c r="N13" s="48" t="n">
        <v>800</v>
      </c>
    </row>
    <row r="14" customFormat="false" ht="15" hidden="false" customHeight="false" outlineLevel="0" collapsed="false">
      <c r="B14" s="48" t="n">
        <v>240</v>
      </c>
      <c r="C14" s="48" t="n">
        <v>409</v>
      </c>
      <c r="D14" s="49" t="n">
        <v>0.125</v>
      </c>
      <c r="E14" s="21" t="n">
        <f aca="false">SQRT(3)*SQRT((D14*(1+0.00403*70))^2+0.077^2)</f>
        <v>0.307959748536639</v>
      </c>
      <c r="L14" s="48" t="n">
        <v>125</v>
      </c>
      <c r="N14" s="48" t="n">
        <v>1000</v>
      </c>
    </row>
    <row r="15" customFormat="false" ht="15" hidden="false" customHeight="false" outlineLevel="0" collapsed="false">
      <c r="L15" s="48" t="n">
        <v>160</v>
      </c>
    </row>
    <row r="16" customFormat="false" ht="15" hidden="false" customHeight="false" outlineLevel="0" collapsed="false">
      <c r="L16" s="48" t="n">
        <v>200</v>
      </c>
    </row>
    <row r="17" customFormat="false" ht="15" hidden="false" customHeight="false" outlineLevel="0" collapsed="false">
      <c r="L17" s="48" t="n">
        <v>250</v>
      </c>
    </row>
    <row r="18" customFormat="false" ht="15" hidden="false" customHeight="false" outlineLevel="0" collapsed="false">
      <c r="L18" s="48" t="n">
        <v>320</v>
      </c>
    </row>
    <row r="19" customFormat="false" ht="15" hidden="false" customHeight="false" outlineLevel="0" collapsed="false">
      <c r="L19" s="48" t="n">
        <v>400</v>
      </c>
    </row>
    <row r="20" customFormat="false" ht="15" hidden="false" customHeight="false" outlineLevel="0" collapsed="false">
      <c r="L20" s="48" t="n">
        <v>500</v>
      </c>
    </row>
    <row r="21" customFormat="false" ht="15" hidden="false" customHeight="false" outlineLevel="0" collapsed="false">
      <c r="L21" s="48" t="n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2026-10-22T07:18:57Z</dcterms:created>
  <dc:creator>openpyxl</dc:creator>
  <dc:description/>
  <dc:language>en-US</dc:language>
  <cp:lastModifiedBy/>
  <dcterms:modified xsi:type="dcterms:W3CDTF">2026-10-22T07:18:59Z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